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ompany Baseline" sheetId="2" state="visible" r:id="rId2"/>
    <sheet xmlns:r="http://schemas.openxmlformats.org/officeDocument/2006/relationships" name="Platform 0" sheetId="3" state="visible" r:id="rId3"/>
    <sheet xmlns:r="http://schemas.openxmlformats.org/officeDocument/2006/relationships" name="Platform 1" sheetId="4" state="visible" r:id="rId4"/>
    <sheet xmlns:r="http://schemas.openxmlformats.org/officeDocument/2006/relationships" name="Platform 2" sheetId="5" state="visible" r:id="rId5"/>
    <sheet xmlns:r="http://schemas.openxmlformats.org/officeDocument/2006/relationships" name="Platform 3" sheetId="6" state="visible" r:id="rId6"/>
    <sheet xmlns:r="http://schemas.openxmlformats.org/officeDocument/2006/relationships" name="Platform 4" sheetId="7" state="visible" r:id="rId7"/>
    <sheet xmlns:r="http://schemas.openxmlformats.org/officeDocument/2006/relationships" name="Consolidated" sheetId="8" state="visible" r:id="rId8"/>
    <sheet xmlns:r="http://schemas.openxmlformats.org/officeDocument/2006/relationships" name="All Friction Points" sheetId="9" state="visible" r:id="rId9"/>
    <sheet xmlns:r="http://schemas.openxmlformats.org/officeDocument/2006/relationships" name="All KPIs" sheetId="10" state="visible" r:id="rId10"/>
    <sheet xmlns:r="http://schemas.openxmlformats.org/officeDocument/2006/relationships" name="Scenario Builder" sheetId="11" state="visible" r:id="rId11"/>
    <sheet xmlns:r="http://schemas.openxmlformats.org/officeDocument/2006/relationships" name="Sensitivity Analysis" sheetId="12" state="visible" r:id="rId12"/>
    <sheet xmlns:r="http://schemas.openxmlformats.org/officeDocument/2006/relationships" name="Charts Dashboa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_);_(&quot;$&quot;* (#,##0);_(&quot;$&quot;* &quot;-&quot;??_);_(@_)"/>
    <numFmt numFmtId="165" formatCode="0.0%"/>
    <numFmt numFmtId="166" formatCode="0.0"/>
  </numFmts>
  <fonts count="1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1F4E79"/>
      <sz val="14"/>
    </font>
    <font>
      <b val="1"/>
      <color rgb="00FFFFFF"/>
      <sz val="11"/>
    </font>
    <font>
      <b val="1"/>
    </font>
    <font>
      <i val="1"/>
      <color rgb="00666666"/>
    </font>
    <font>
      <b val="1"/>
      <color rgb="00FFFFFF"/>
      <sz val="16"/>
    </font>
    <font>
      <i val="1"/>
      <sz val="12"/>
    </font>
    <font>
      <b val="1"/>
      <color rgb="004CAF50"/>
      <sz val="14"/>
    </font>
    <font>
      <b val="1"/>
      <color rgb="002E75B6"/>
      <sz val="12"/>
    </font>
    <font>
      <b val="1"/>
      <color rgb="002196F3"/>
      <sz val="14"/>
    </font>
    <font>
      <b val="1"/>
      <color rgb="00FF9800"/>
      <sz val="14"/>
    </font>
    <font>
      <b val="1"/>
      <color rgb="009C27B0"/>
      <sz val="14"/>
    </font>
    <font>
      <b val="1"/>
      <color rgb="00607D8B"/>
      <sz val="14"/>
    </font>
  </fonts>
  <fills count="1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CAF50"/>
        <bgColor rgb="004CAF50"/>
      </patternFill>
    </fill>
    <fill>
      <patternFill patternType="solid">
        <fgColor rgb="00FCE4D6"/>
        <bgColor rgb="00FCE4D6"/>
      </patternFill>
    </fill>
    <fill>
      <patternFill patternType="solid">
        <fgColor rgb="002196F3"/>
        <bgColor rgb="002196F3"/>
      </patternFill>
    </fill>
    <fill>
      <patternFill patternType="solid">
        <fgColor rgb="00FF9800"/>
        <bgColor rgb="00FF9800"/>
      </patternFill>
    </fill>
    <fill>
      <patternFill patternType="solid">
        <fgColor rgb="009C27B0"/>
        <bgColor rgb="009C27B0"/>
      </patternFill>
    </fill>
    <fill>
      <patternFill patternType="solid">
        <fgColor rgb="00607D8B"/>
        <bgColor rgb="00607D8B"/>
      </patternFill>
    </fill>
    <fill>
      <patternFill patternType="solid">
        <fgColor rgb="00E6E6FA"/>
        <bgColor rgb="00E6E6FA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A07A"/>
        <bgColor rgb="00FFA07A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3" fontId="0" fillId="3" borderId="1" pivotButton="0" quotePrefix="0" xfId="0"/>
    <xf numFmtId="0" fontId="4" fillId="0" borderId="1" pivotButton="0" quotePrefix="0" xfId="0"/>
    <xf numFmtId="164" fontId="4" fillId="3" borderId="1" pivotButton="0" quotePrefix="0" xfId="0"/>
    <xf numFmtId="0" fontId="4" fillId="0" borderId="0" pivotButton="0" quotePrefix="0" xfId="0"/>
    <xf numFmtId="164" fontId="0" fillId="4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5" fillId="0" borderId="1" pivotButton="0" quotePrefix="0" xfId="0"/>
    <xf numFmtId="165" fontId="0" fillId="4" borderId="1" pivotButton="0" quotePrefix="0" xfId="0"/>
    <xf numFmtId="3" fontId="0" fillId="4" borderId="1" pivotButton="0" quotePrefix="0" xfId="0"/>
    <xf numFmtId="0" fontId="6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6" borderId="1" pivotButton="0" quotePrefix="0" xfId="0"/>
    <xf numFmtId="0" fontId="0" fillId="0" borderId="1" applyAlignment="1" pivotButton="0" quotePrefix="0" xfId="0">
      <alignment wrapText="1"/>
    </xf>
    <xf numFmtId="164" fontId="0" fillId="6" borderId="1" pivotButton="0" quotePrefix="0" xfId="0"/>
    <xf numFmtId="3" fontId="0" fillId="0" borderId="1" pivotButton="0" quotePrefix="0" xfId="0"/>
    <xf numFmtId="165" fontId="0" fillId="0" borderId="1" pivotButton="0" quotePrefix="0" xfId="0"/>
    <xf numFmtId="165" fontId="0" fillId="0" borderId="0" pivotButton="0" quotePrefix="0" xfId="0"/>
    <xf numFmtId="0" fontId="9" fillId="0" borderId="0" pivotButton="0" quotePrefix="0" xfId="0"/>
    <xf numFmtId="2" fontId="0" fillId="3" borderId="1" pivotButton="0" quotePrefix="0" xfId="0"/>
    <xf numFmtId="0" fontId="6" fillId="7" borderId="0" pivotButton="0" quotePrefix="0" xfId="0"/>
    <xf numFmtId="0" fontId="10" fillId="0" borderId="0" pivotButton="0" quotePrefix="0" xfId="0"/>
    <xf numFmtId="2" fontId="0" fillId="4" borderId="1" pivotButton="0" quotePrefix="0" xfId="0"/>
    <xf numFmtId="0" fontId="6" fillId="8" borderId="0" pivotButton="0" quotePrefix="0" xfId="0"/>
    <xf numFmtId="0" fontId="11" fillId="0" borderId="0" pivotButton="0" quotePrefix="0" xfId="0"/>
    <xf numFmtId="0" fontId="6" fillId="9" borderId="0" pivotButton="0" quotePrefix="0" xfId="0"/>
    <xf numFmtId="0" fontId="12" fillId="0" borderId="0" pivotButton="0" quotePrefix="0" xfId="0"/>
    <xf numFmtId="0" fontId="6" fillId="10" borderId="0" pivotButton="0" quotePrefix="0" xfId="0"/>
    <xf numFmtId="0" fontId="13" fillId="0" borderId="0" pivotButton="0" quotePrefix="0" xfId="0"/>
    <xf numFmtId="164" fontId="4" fillId="4" borderId="1" pivotButton="0" quotePrefix="0" xfId="0"/>
    <xf numFmtId="0" fontId="0" fillId="3" borderId="1" pivotButton="0" quotePrefix="0" xfId="0"/>
    <xf numFmtId="164" fontId="0" fillId="11" borderId="1" pivotButton="0" quotePrefix="0" xfId="0"/>
    <xf numFmtId="165" fontId="0" fillId="11" borderId="1" pivotButton="0" quotePrefix="0" xfId="0"/>
    <xf numFmtId="3" fontId="0" fillId="11" borderId="1" pivotButton="0" quotePrefix="0" xfId="0"/>
    <xf numFmtId="165" fontId="4" fillId="3" borderId="1" pivotButton="0" quotePrefix="0" xfId="0"/>
    <xf numFmtId="0" fontId="4" fillId="3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4" fillId="15" borderId="1" pivotButton="0" quotePrefix="0" xfId="0"/>
    <xf numFmtId="0" fontId="4" fillId="16" borderId="1" pivotButton="0" quotePrefix="0" xfId="0"/>
    <xf numFmtId="0" fontId="4" fillId="17" borderId="1" pivotButton="0" quotePrefix="0" xfId="0"/>
    <xf numFmtId="0" fontId="4" fillId="18" borderId="1" pivotButton="0" quotePrefix="0" xfId="0"/>
    <xf numFmtId="166" fontId="0" fillId="0" borderId="1" pivotButton="0" quotePrefix="0" xfId="0"/>
    <xf numFmtId="166" fontId="4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Benefit by Platform ($M)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Dashboard'!B4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196F3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98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C27B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607D8B"/>
              </a:solidFill>
              <a:ln xmlns:a="http://schemas.openxmlformats.org/drawingml/2006/main">
                <a:prstDash val="solid"/>
              </a:ln>
            </spPr>
          </dPt>
          <cat>
            <numRef>
              <f>'Charts Dashboard'!$A$5:$A$9</f>
            </numRef>
          </cat>
          <val>
            <numRef>
              <f>'Charts Dashboard'!$B$5:$B$9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Platform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Benefit ($ 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Benefit Distribution by Platform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'Charts Dashboard'!$A$5:$A$9</f>
            </numRef>
          </cat>
          <val>
            <numRef>
              <f>'Charts Dashboard'!$B$5:$B$9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Benefit by Business Driver ($M)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 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Dashboard'!$A$15:$A$18</f>
            </numRef>
          </cat>
          <val>
            <numRef>
              <f>'Charts Dashboard'!$B$15:$B$18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Benefit ($ Millions)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32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>
      <c r="A1" s="1" t="inlineStr">
        <is>
          <t>NATIONS ROOF AI TRANSFORMATION - EXECUTIVE DASHBOARD</t>
        </is>
      </c>
    </row>
    <row r="3">
      <c r="A3" s="2" t="inlineStr">
        <is>
          <t>TRANSFORMATION OVERVIEW</t>
        </is>
      </c>
    </row>
    <row r="4">
      <c r="A4" s="3" t="inlineStr">
        <is>
          <t>Metric</t>
        </is>
      </c>
      <c r="B4" s="3" t="inlineStr">
        <is>
          <t>Current State</t>
        </is>
      </c>
      <c r="C4" s="3" t="inlineStr">
        <is>
          <t>Post-Transform</t>
        </is>
      </c>
      <c r="D4" s="3" t="inlineStr">
        <is>
          <t>Change</t>
        </is>
      </c>
      <c r="E4" s="3" t="inlineStr">
        <is>
          <t>% Change</t>
        </is>
      </c>
    </row>
    <row r="5">
      <c r="A5" s="4" t="inlineStr">
        <is>
          <t>Total Annual Benefit</t>
        </is>
      </c>
      <c r="B5" s="5" t="inlineStr">
        <is>
          <t>-</t>
        </is>
      </c>
      <c r="C5" s="5">
        <f>'Consolidated'!B25</f>
        <v/>
      </c>
      <c r="D5" s="5">
        <f>'Consolidated'!B25</f>
        <v/>
      </c>
      <c r="E5" s="6" t="inlineStr">
        <is>
          <t>-</t>
        </is>
      </c>
    </row>
    <row r="6">
      <c r="A6" s="4" t="inlineStr">
        <is>
          <t>Annual Revenue</t>
        </is>
      </c>
      <c r="B6" s="5">
        <f>'Company Baseline'!B7</f>
        <v/>
      </c>
      <c r="C6" s="5">
        <f>'Consolidated'!C32</f>
        <v/>
      </c>
      <c r="D6" s="5">
        <f>C6-B6</f>
        <v/>
      </c>
      <c r="E6" s="6">
        <f>D6/B6</f>
        <v/>
      </c>
    </row>
    <row r="7">
      <c r="A7" s="4" t="inlineStr">
        <is>
          <t>Win Rate</t>
        </is>
      </c>
      <c r="B7" s="6">
        <f>'Company Baseline'!B17</f>
        <v/>
      </c>
      <c r="C7" s="6">
        <f>'Consolidated'!C33</f>
        <v/>
      </c>
      <c r="D7" s="6">
        <f>C7-B7</f>
        <v/>
      </c>
      <c r="E7" s="6">
        <f>D7/B7</f>
        <v/>
      </c>
    </row>
    <row r="8">
      <c r="A8" s="4" t="inlineStr">
        <is>
          <t>Net Income</t>
        </is>
      </c>
      <c r="B8" s="5">
        <f>'Company Baseline'!B11</f>
        <v/>
      </c>
      <c r="C8" s="5">
        <f>'Consolidated'!C34</f>
        <v/>
      </c>
      <c r="D8" s="5">
        <f>C8-B8</f>
        <v/>
      </c>
      <c r="E8" s="6">
        <f>D8/B8</f>
        <v/>
      </c>
    </row>
    <row r="9">
      <c r="A9" s="4" t="inlineStr">
        <is>
          <t>Net Margin</t>
        </is>
      </c>
      <c r="B9" s="6">
        <f>'Company Baseline'!B9</f>
        <v/>
      </c>
      <c r="C9" s="6">
        <f>'Consolidated'!C35</f>
        <v/>
      </c>
      <c r="D9" s="6">
        <f>C9-B9</f>
        <v/>
      </c>
      <c r="E9" s="6">
        <f>D9/B9</f>
        <v/>
      </c>
    </row>
    <row r="10">
      <c r="A10" s="4" t="inlineStr">
        <is>
          <t>Annual Projects</t>
        </is>
      </c>
      <c r="B10" s="7">
        <f>'Company Baseline'!B15</f>
        <v/>
      </c>
      <c r="C10" s="7">
        <f>'Consolidated'!C36</f>
        <v/>
      </c>
      <c r="D10" s="7">
        <f>C10-B10</f>
        <v/>
      </c>
      <c r="E10" s="6">
        <f>D10/B10</f>
        <v/>
      </c>
    </row>
    <row r="11">
      <c r="A11" s="4" t="inlineStr">
        <is>
          <t>Leads Generated</t>
        </is>
      </c>
      <c r="B11" s="7">
        <f>'Company Baseline'!B21</f>
        <v/>
      </c>
      <c r="C11" s="7">
        <f>'Consolidated'!C37</f>
        <v/>
      </c>
      <c r="D11" s="7">
        <f>C11-B11</f>
        <v/>
      </c>
      <c r="E11" s="6">
        <f>D11/B11</f>
        <v/>
      </c>
    </row>
    <row r="12">
      <c r="A12" s="4" t="inlineStr">
        <is>
          <t>Cost Per Lead</t>
        </is>
      </c>
      <c r="B12" s="5">
        <f>'Company Baseline'!B22</f>
        <v/>
      </c>
      <c r="C12" s="5">
        <f>'Consolidated'!C38</f>
        <v/>
      </c>
      <c r="D12" s="5">
        <f>C12-B12</f>
        <v/>
      </c>
      <c r="E12" s="6">
        <f>D12/B12</f>
        <v/>
      </c>
    </row>
    <row r="15">
      <c r="A15" s="2" t="inlineStr">
        <is>
          <t>PLATFORM FINANCIAL SUMMARY</t>
        </is>
      </c>
    </row>
    <row r="16">
      <c r="A16" s="3" t="inlineStr">
        <is>
          <t>Platform</t>
        </is>
      </c>
      <c r="B16" s="3" t="inlineStr">
        <is>
          <t>Revenue Growth</t>
        </is>
      </c>
      <c r="C16" s="3" t="inlineStr">
        <is>
          <t>Cost Reduction</t>
        </is>
      </c>
      <c r="D16" s="3" t="inlineStr">
        <is>
          <t>Risk Reduction</t>
        </is>
      </c>
      <c r="E16" s="3" t="inlineStr">
        <is>
          <t>Cash Flow</t>
        </is>
      </c>
      <c r="F16" s="3" t="inlineStr">
        <is>
          <t>Total Benefit</t>
        </is>
      </c>
      <c r="G16" s="3" t="inlineStr">
        <is>
          <t>% of Total</t>
        </is>
      </c>
    </row>
    <row r="17">
      <c r="A17" s="4" t="inlineStr">
        <is>
          <t>P0: AI Market Expansion Engine</t>
        </is>
      </c>
      <c r="B17" s="5">
        <f>'Platform 0'!C58</f>
        <v/>
      </c>
      <c r="C17" s="5">
        <f>'Platform 0'!C59</f>
        <v/>
      </c>
      <c r="D17" s="5">
        <f>'Platform 0'!C61</f>
        <v/>
      </c>
      <c r="E17" s="5">
        <f>'Platform 0'!C60</f>
        <v/>
      </c>
      <c r="F17" s="5">
        <f>'Platform 0'!C62</f>
        <v/>
      </c>
      <c r="G17" s="6">
        <f>F17/$F$22</f>
        <v/>
      </c>
    </row>
    <row r="18">
      <c r="A18" s="4" t="inlineStr">
        <is>
          <t>P1: AI Sales Intelligence</t>
        </is>
      </c>
      <c r="B18" s="5">
        <f>'Platform 1'!C51</f>
        <v/>
      </c>
      <c r="C18" s="5">
        <f>'Platform 1'!C52</f>
        <v/>
      </c>
      <c r="D18" s="5" t="inlineStr">
        <is>
          <t>0</t>
        </is>
      </c>
      <c r="E18" s="5" t="inlineStr">
        <is>
          <t>0</t>
        </is>
      </c>
      <c r="F18" s="5">
        <f>'Platform 1'!C53</f>
        <v/>
      </c>
      <c r="G18" s="6">
        <f>F18/$F$22</f>
        <v/>
      </c>
    </row>
    <row r="19">
      <c r="A19" s="4" t="inlineStr">
        <is>
          <t>P2: AI Estimation Suite</t>
        </is>
      </c>
      <c r="B19" s="5">
        <f>'Platform 2'!C55</f>
        <v/>
      </c>
      <c r="C19" s="5">
        <f>'Platform 2'!C54</f>
        <v/>
      </c>
      <c r="D19" s="5">
        <f>'Platform 2'!C56</f>
        <v/>
      </c>
      <c r="E19" s="5">
        <f>'Platform 2'!C57</f>
        <v/>
      </c>
      <c r="F19" s="5">
        <f>'Platform 2'!C58</f>
        <v/>
      </c>
      <c r="G19" s="6">
        <f>F19/$F$22</f>
        <v/>
      </c>
    </row>
    <row r="20">
      <c r="A20" s="4" t="inlineStr">
        <is>
          <t>P3: AI Project Management</t>
        </is>
      </c>
      <c r="B20" s="5">
        <f>'Platform 3'!C55</f>
        <v/>
      </c>
      <c r="C20" s="5">
        <f>'Platform 3'!C54</f>
        <v/>
      </c>
      <c r="D20" s="5" t="inlineStr">
        <is>
          <t>0</t>
        </is>
      </c>
      <c r="E20" s="5">
        <f>'Platform 3'!C56</f>
        <v/>
      </c>
      <c r="F20" s="5">
        <f>'Platform 3'!C57</f>
        <v/>
      </c>
      <c r="G20" s="6">
        <f>F20/$F$22</f>
        <v/>
      </c>
    </row>
    <row r="21">
      <c r="A21" s="4" t="inlineStr">
        <is>
          <t>P4: AI Knowledge Management</t>
        </is>
      </c>
      <c r="B21" s="5">
        <f>'Platform 4'!C41</f>
        <v/>
      </c>
      <c r="C21" s="5">
        <f>'Platform 4'!C40</f>
        <v/>
      </c>
      <c r="D21" s="5" t="inlineStr">
        <is>
          <t>0</t>
        </is>
      </c>
      <c r="E21" s="5" t="inlineStr">
        <is>
          <t>0</t>
        </is>
      </c>
      <c r="F21" s="5">
        <f>'Platform 4'!C42</f>
        <v/>
      </c>
      <c r="G21" s="6">
        <f>F21/$F$22</f>
        <v/>
      </c>
    </row>
    <row r="22">
      <c r="A22" s="8" t="inlineStr">
        <is>
          <t>GRAND TOTAL</t>
        </is>
      </c>
      <c r="B22" s="9">
        <f>SUM(B17:B21)</f>
        <v/>
      </c>
      <c r="C22" s="9">
        <f>SUM(C17:C21)</f>
        <v/>
      </c>
      <c r="D22" s="9">
        <f>SUM(D17:D21)</f>
        <v/>
      </c>
      <c r="E22" s="9">
        <f>SUM(E17:E21)</f>
        <v/>
      </c>
      <c r="F22" s="9">
        <f>SUM(F17:F21)</f>
        <v/>
      </c>
      <c r="G22" s="10" t="inlineStr">
        <is>
          <t>100%</t>
        </is>
      </c>
    </row>
    <row r="25">
      <c r="A25" s="2" t="inlineStr">
        <is>
          <t>BENEFIT BY BUSINESS DRIVER</t>
        </is>
      </c>
    </row>
    <row r="26">
      <c r="A26" s="3" t="inlineStr">
        <is>
          <t>Business Driver</t>
        </is>
      </c>
      <c r="B26" s="3" t="inlineStr">
        <is>
          <t>Annual Benefit</t>
        </is>
      </c>
      <c r="C26" s="3" t="inlineStr">
        <is>
          <t>% of Total</t>
        </is>
      </c>
      <c r="D26" s="3" t="inlineStr">
        <is>
          <t>Primary Platforms</t>
        </is>
      </c>
    </row>
    <row r="27">
      <c r="A27" s="4" t="inlineStr">
        <is>
          <t>Revenue Growth</t>
        </is>
      </c>
      <c r="B27" s="11" t="n">
        <v>76200000</v>
      </c>
      <c r="C27" s="6">
        <f>B27/SUM($B$27:$B$30)</f>
        <v/>
      </c>
      <c r="D27" s="4" t="inlineStr">
        <is>
          <t>P0, P1, P2, P3</t>
        </is>
      </c>
    </row>
    <row r="28">
      <c r="A28" s="4" t="inlineStr">
        <is>
          <t>Cost Reduction</t>
        </is>
      </c>
      <c r="B28" s="11" t="n">
        <v>28600000</v>
      </c>
      <c r="C28" s="6">
        <f>B28/SUM($B$27:$B$30)</f>
        <v/>
      </c>
      <c r="D28" s="4" t="inlineStr">
        <is>
          <t>P0, P2, P3, P4</t>
        </is>
      </c>
    </row>
    <row r="29">
      <c r="A29" s="4" t="inlineStr">
        <is>
          <t>Risk Mitigation</t>
        </is>
      </c>
      <c r="B29" s="11" t="n">
        <v>4400000</v>
      </c>
      <c r="C29" s="6">
        <f>B29/SUM($B$27:$B$30)</f>
        <v/>
      </c>
      <c r="D29" s="4" t="inlineStr">
        <is>
          <t>P0, P2, P4</t>
        </is>
      </c>
    </row>
    <row r="30">
      <c r="A30" s="4" t="inlineStr">
        <is>
          <t>Cash Flow Improvement</t>
        </is>
      </c>
      <c r="B30" s="11" t="n">
        <v>2700000</v>
      </c>
      <c r="C30" s="6">
        <f>B30/SUM($B$27:$B$30)</f>
        <v/>
      </c>
      <c r="D30" s="4" t="inlineStr">
        <is>
          <t>P0, P2, P3</t>
        </is>
      </c>
    </row>
    <row r="31">
      <c r="A31" s="8" t="inlineStr">
        <is>
          <t>TOTAL</t>
        </is>
      </c>
      <c r="B31" s="9">
        <f>SUM(B27:B30)</f>
        <v/>
      </c>
      <c r="C31" s="10" t="inlineStr">
        <is>
          <t>100%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25" customWidth="1" min="4" max="4"/>
    <col width="35" customWidth="1" min="5" max="5"/>
  </cols>
  <sheetData>
    <row r="1">
      <c r="A1" s="12" t="inlineStr">
        <is>
          <t>COMPANY BASELINE - CURRENT STATE METRICS</t>
        </is>
      </c>
    </row>
    <row r="3">
      <c r="A3" s="13" t="inlineStr">
        <is>
          <t>Instructions: Modify YELLOW cells to adjust baseline assumptions. All platforms reference these values.</t>
        </is>
      </c>
    </row>
    <row r="5">
      <c r="A5" s="2" t="inlineStr">
        <is>
          <t>FINANCIAL METRICS</t>
        </is>
      </c>
    </row>
    <row r="6">
      <c r="A6" s="3" t="inlineStr">
        <is>
          <t>Metric</t>
        </is>
      </c>
      <c r="B6" s="3" t="inlineStr">
        <is>
          <t>Value</t>
        </is>
      </c>
      <c r="C6" s="3" t="inlineStr">
        <is>
          <t>Unit</t>
        </is>
      </c>
      <c r="D6" s="3" t="inlineStr">
        <is>
          <t>Formula/Source</t>
        </is>
      </c>
      <c r="E6" s="3" t="inlineStr">
        <is>
          <t>Notes</t>
        </is>
      </c>
    </row>
    <row r="7">
      <c r="A7" s="4" t="inlineStr">
        <is>
          <t>Annual Revenue</t>
        </is>
      </c>
      <c r="B7" s="11" t="n">
        <v>527000000</v>
      </c>
      <c r="C7" s="4" t="inlineStr">
        <is>
          <t>USD</t>
        </is>
      </c>
      <c r="D7" s="14" t="inlineStr">
        <is>
          <t>Input</t>
        </is>
      </c>
      <c r="E7" s="13" t="inlineStr">
        <is>
          <t>FY2024 total revenue</t>
        </is>
      </c>
    </row>
    <row r="8">
      <c r="A8" s="4" t="inlineStr">
        <is>
          <t>Gross Margin %</t>
        </is>
      </c>
      <c r="B8" s="15" t="n">
        <v>0.35</v>
      </c>
      <c r="C8" s="4" t="inlineStr">
        <is>
          <t>%</t>
        </is>
      </c>
      <c r="D8" s="14" t="inlineStr">
        <is>
          <t>Input</t>
        </is>
      </c>
      <c r="E8" s="13" t="inlineStr">
        <is>
          <t>35% gross margin</t>
        </is>
      </c>
    </row>
    <row r="9">
      <c r="A9" s="4" t="inlineStr">
        <is>
          <t>Net Margin %</t>
        </is>
      </c>
      <c r="B9" s="15" t="n">
        <v>0.07000000000000001</v>
      </c>
      <c r="C9" s="4" t="inlineStr">
        <is>
          <t>%</t>
        </is>
      </c>
      <c r="D9" s="14" t="inlineStr">
        <is>
          <t>Input</t>
        </is>
      </c>
      <c r="E9" s="13" t="inlineStr">
        <is>
          <t>7% net margin</t>
        </is>
      </c>
    </row>
    <row r="10">
      <c r="A10" s="4" t="inlineStr">
        <is>
          <t>Gross Profit</t>
        </is>
      </c>
      <c r="B10" s="5">
        <f>B7*B8</f>
        <v/>
      </c>
      <c r="C10" s="4" t="inlineStr">
        <is>
          <t>USD</t>
        </is>
      </c>
      <c r="D10" s="14">
        <f>Revenue × Gross Margin</f>
        <v/>
      </c>
      <c r="E10" s="13" t="inlineStr">
        <is>
          <t>Calculated</t>
        </is>
      </c>
    </row>
    <row r="11">
      <c r="A11" s="4" t="inlineStr">
        <is>
          <t>Net Income</t>
        </is>
      </c>
      <c r="B11" s="5">
        <f>B7*B9</f>
        <v/>
      </c>
      <c r="C11" s="4" t="inlineStr">
        <is>
          <t>USD</t>
        </is>
      </c>
      <c r="D11" s="14">
        <f>Revenue × Net Margin</f>
        <v/>
      </c>
      <c r="E11" s="13" t="inlineStr">
        <is>
          <t>Calculated</t>
        </is>
      </c>
    </row>
    <row r="13">
      <c r="A13" s="2" t="inlineStr">
        <is>
          <t>OPERATIONAL METRICS</t>
        </is>
      </c>
    </row>
    <row r="14">
      <c r="A14" s="3" t="inlineStr">
        <is>
          <t>Metric</t>
        </is>
      </c>
      <c r="B14" s="3" t="inlineStr">
        <is>
          <t>Value</t>
        </is>
      </c>
      <c r="C14" s="3" t="inlineStr">
        <is>
          <t>Unit</t>
        </is>
      </c>
      <c r="D14" s="3" t="inlineStr">
        <is>
          <t>Formula/Source</t>
        </is>
      </c>
      <c r="E14" s="3" t="inlineStr">
        <is>
          <t>Notes</t>
        </is>
      </c>
    </row>
    <row r="15">
      <c r="A15" s="4" t="inlineStr">
        <is>
          <t>Annual Projects Completed</t>
        </is>
      </c>
      <c r="B15" s="16" t="n">
        <v>2100</v>
      </c>
      <c r="C15" s="4" t="inlineStr">
        <is>
          <t>#</t>
        </is>
      </c>
      <c r="D15" s="14" t="inlineStr">
        <is>
          <t>Input</t>
        </is>
      </c>
      <c r="E15" s="13" t="inlineStr">
        <is>
          <t>Projects delivered per year</t>
        </is>
      </c>
    </row>
    <row r="16">
      <c r="A16" s="4" t="inlineStr">
        <is>
          <t>Annual Bids Submitted</t>
        </is>
      </c>
      <c r="B16" s="16" t="n">
        <v>11700</v>
      </c>
      <c r="C16" s="4" t="inlineStr">
        <is>
          <t>#</t>
        </is>
      </c>
      <c r="D16" s="14" t="inlineStr">
        <is>
          <t>Input</t>
        </is>
      </c>
      <c r="E16" s="13" t="inlineStr">
        <is>
          <t>Total bids per year</t>
        </is>
      </c>
    </row>
    <row r="17">
      <c r="A17" s="4" t="inlineStr">
        <is>
          <t>Current Win Rate</t>
        </is>
      </c>
      <c r="B17" s="6">
        <f>B15/B16</f>
        <v/>
      </c>
      <c r="C17" s="4" t="inlineStr">
        <is>
          <t>%</t>
        </is>
      </c>
      <c r="D17" s="14">
        <f>Projects / Bids</f>
        <v/>
      </c>
      <c r="E17" s="13" t="inlineStr">
        <is>
          <t>18% win rate</t>
        </is>
      </c>
    </row>
    <row r="18">
      <c r="A18" s="4" t="inlineStr">
        <is>
          <t>Average Project Value</t>
        </is>
      </c>
      <c r="B18" s="11" t="n">
        <v>250000</v>
      </c>
      <c r="C18" s="4" t="inlineStr">
        <is>
          <t>USD</t>
        </is>
      </c>
      <c r="D18" s="14" t="inlineStr">
        <is>
          <t>Input</t>
        </is>
      </c>
      <c r="E18" s="13" t="inlineStr">
        <is>
          <t>Average commercial roofing project</t>
        </is>
      </c>
    </row>
    <row r="19">
      <c r="A19" s="4" t="inlineStr">
        <is>
          <t>Typical Project Duration</t>
        </is>
      </c>
      <c r="B19" s="16" t="n">
        <v>45</v>
      </c>
      <c r="C19" s="4" t="inlineStr">
        <is>
          <t>days</t>
        </is>
      </c>
      <c r="D19" s="14" t="inlineStr">
        <is>
          <t>Input</t>
        </is>
      </c>
      <c r="E19" s="13" t="inlineStr">
        <is>
          <t>1-2 month average</t>
        </is>
      </c>
    </row>
    <row r="20">
      <c r="A20" s="4" t="inlineStr">
        <is>
          <t>Daily Revenue per Project</t>
        </is>
      </c>
      <c r="B20" s="5">
        <f>B18/B19</f>
        <v/>
      </c>
      <c r="C20" s="4" t="inlineStr">
        <is>
          <t>USD</t>
        </is>
      </c>
      <c r="D20" s="14">
        <f>Avg Value / Duration</f>
        <v/>
      </c>
      <c r="E20" s="13" t="inlineStr">
        <is>
          <t>Calculated</t>
        </is>
      </c>
    </row>
    <row r="22">
      <c r="A22" s="2" t="inlineStr">
        <is>
          <t>LEAD GENERATION METRICS (CURRENT STATE)</t>
        </is>
      </c>
    </row>
    <row r="23">
      <c r="A23" s="3" t="inlineStr">
        <is>
          <t>Metric</t>
        </is>
      </c>
      <c r="B23" s="3" t="inlineStr">
        <is>
          <t>Value</t>
        </is>
      </c>
      <c r="C23" s="3" t="inlineStr">
        <is>
          <t>Unit</t>
        </is>
      </c>
      <c r="D23" s="3" t="inlineStr">
        <is>
          <t>Formula/Source</t>
        </is>
      </c>
      <c r="E23" s="3" t="inlineStr">
        <is>
          <t>Notes</t>
        </is>
      </c>
    </row>
    <row r="24">
      <c r="A24" s="4" t="inlineStr">
        <is>
          <t>Current Annual Leads</t>
        </is>
      </c>
      <c r="B24" s="16" t="n">
        <v>2400</v>
      </c>
      <c r="C24" s="4" t="inlineStr">
        <is>
          <t>#</t>
        </is>
      </c>
      <c r="D24" s="14" t="inlineStr">
        <is>
          <t>Input</t>
        </is>
      </c>
      <c r="E24" s="13" t="inlineStr">
        <is>
          <t>~200/month × 12</t>
        </is>
      </c>
    </row>
    <row r="25">
      <c r="A25" s="4" t="inlineStr">
        <is>
          <t>Current Cost Per Lead</t>
        </is>
      </c>
      <c r="B25" s="11" t="n">
        <v>350</v>
      </c>
      <c r="C25" s="4" t="inlineStr">
        <is>
          <t>USD</t>
        </is>
      </c>
      <c r="D25" s="14" t="inlineStr">
        <is>
          <t>Input</t>
        </is>
      </c>
      <c r="E25" s="13" t="inlineStr">
        <is>
          <t>Industry average</t>
        </is>
      </c>
    </row>
    <row r="26">
      <c r="A26" s="4" t="inlineStr">
        <is>
          <t>Current Lead Spend</t>
        </is>
      </c>
      <c r="B26" s="5">
        <f>B24*B25</f>
        <v/>
      </c>
      <c r="C26" s="4" t="inlineStr">
        <is>
          <t>USD</t>
        </is>
      </c>
      <c r="D26" s="14">
        <f>Leads × CPL</f>
        <v/>
      </c>
      <c r="E26" s="13" t="inlineStr">
        <is>
          <t>Calculated</t>
        </is>
      </c>
    </row>
    <row r="27">
      <c r="A27" s="4" t="inlineStr">
        <is>
          <t>Lead-to-Project Conversion</t>
        </is>
      </c>
      <c r="B27" s="6">
        <f>B15/B24</f>
        <v/>
      </c>
      <c r="C27" s="4" t="inlineStr">
        <is>
          <t>%</t>
        </is>
      </c>
      <c r="D27" s="14">
        <f>Projects / Leads</f>
        <v/>
      </c>
      <c r="E27" s="13" t="inlineStr">
        <is>
          <t>Calculated</t>
        </is>
      </c>
    </row>
    <row r="28">
      <c r="A28" s="4" t="inlineStr">
        <is>
          <t>Speed to Lead (Current)</t>
        </is>
      </c>
      <c r="B28" s="16" t="n">
        <v>240</v>
      </c>
      <c r="C28" s="4" t="inlineStr">
        <is>
          <t>minutes</t>
        </is>
      </c>
      <c r="D28" s="14" t="inlineStr">
        <is>
          <t>Input</t>
        </is>
      </c>
      <c r="E28" s="13" t="inlineStr">
        <is>
          <t>4 hours average</t>
        </is>
      </c>
    </row>
    <row r="30">
      <c r="A30" s="2" t="inlineStr">
        <is>
          <t>WORKFORCE METRICS</t>
        </is>
      </c>
    </row>
    <row r="31">
      <c r="A31" s="3" t="inlineStr">
        <is>
          <t>Role</t>
        </is>
      </c>
      <c r="B31" s="3" t="inlineStr">
        <is>
          <t>Headcount</t>
        </is>
      </c>
      <c r="C31" s="3" t="inlineStr">
        <is>
          <t>Hourly Rate</t>
        </is>
      </c>
      <c r="D31" s="3" t="inlineStr">
        <is>
          <t>Annual Hours</t>
        </is>
      </c>
      <c r="E31" s="3" t="inlineStr">
        <is>
          <t>Annual Cost</t>
        </is>
      </c>
    </row>
    <row r="32">
      <c r="A32" s="4" t="inlineStr">
        <is>
          <t>Estimators</t>
        </is>
      </c>
      <c r="B32" s="16" t="n">
        <v>25</v>
      </c>
      <c r="C32" s="11" t="n">
        <v>75</v>
      </c>
      <c r="D32" s="16" t="n">
        <v>2080</v>
      </c>
      <c r="E32" s="5">
        <f>B32*C32*D32</f>
        <v/>
      </c>
    </row>
    <row r="33">
      <c r="A33" s="4" t="inlineStr">
        <is>
          <t>Project Managers</t>
        </is>
      </c>
      <c r="B33" s="16" t="n">
        <v>45</v>
      </c>
      <c r="C33" s="11" t="n">
        <v>75</v>
      </c>
      <c r="D33" s="16" t="n">
        <v>2080</v>
      </c>
      <c r="E33" s="5">
        <f>B33*C33*D33</f>
        <v/>
      </c>
    </row>
    <row r="34">
      <c r="A34" s="4" t="inlineStr">
        <is>
          <t>Sales Representatives</t>
        </is>
      </c>
      <c r="B34" s="16" t="n">
        <v>30</v>
      </c>
      <c r="C34" s="11" t="n">
        <v>75</v>
      </c>
      <c r="D34" s="16" t="n">
        <v>2080</v>
      </c>
      <c r="E34" s="5">
        <f>B34*C34*D34</f>
        <v/>
      </c>
    </row>
    <row r="35">
      <c r="A35" s="4" t="inlineStr">
        <is>
          <t>SDRs (Sales Dev Reps)</t>
        </is>
      </c>
      <c r="B35" s="16" t="n">
        <v>15</v>
      </c>
      <c r="C35" s="11" t="n">
        <v>50</v>
      </c>
      <c r="D35" s="16" t="n">
        <v>2080</v>
      </c>
      <c r="E35" s="5">
        <f>B35*C35*D35</f>
        <v/>
      </c>
    </row>
    <row r="36">
      <c r="A36" s="8" t="inlineStr">
        <is>
          <t>TOTAL WORKFORCE COST</t>
        </is>
      </c>
      <c r="E36" s="9">
        <f>SUM(E32:E35)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0" customWidth="1" min="3" max="3"/>
    <col width="15" customWidth="1" min="4" max="4"/>
    <col width="15" customWidth="1" min="5" max="5"/>
    <col width="30" customWidth="1" min="6" max="6"/>
  </cols>
  <sheetData>
    <row r="1">
      <c r="A1" s="17" t="inlineStr">
        <is>
          <t>PLATFORM 0: AI MARKET EXPANSION ENGINE</t>
        </is>
      </c>
    </row>
    <row r="2">
      <c r="A2" s="18" t="inlineStr">
        <is>
          <t>Autonomous Agent Swarm for Lead Generation and Sales Acceleration</t>
        </is>
      </c>
    </row>
    <row r="3">
      <c r="A3" s="19" t="inlineStr">
        <is>
          <t>Annual Financial Benefit: $35,000,000</t>
        </is>
      </c>
    </row>
    <row r="5">
      <c r="A5" s="2" t="inlineStr">
        <is>
          <t>STEP 2: FRICTION POINT INVENTORY (Current State Problems)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Speed to Lead</t>
        </is>
      </c>
      <c r="B7" s="21" t="inlineStr">
        <is>
          <t>Inbound leads sit in CRM inboxes for hours; conversion drops 80% after 5 minutes</t>
        </is>
      </c>
      <c r="C7" s="4" t="inlineStr">
        <is>
          <t>Lost conversions</t>
        </is>
      </c>
      <c r="D7" s="22" t="n">
        <v>4200000</v>
      </c>
    </row>
    <row r="8">
      <c r="A8" s="20" t="inlineStr">
        <is>
          <t>Manual List Building</t>
        </is>
      </c>
      <c r="B8" s="21" t="inlineStr">
        <is>
          <t>SDRs waste 40% of time scraping permit sites and hail maps instead of selling</t>
        </is>
      </c>
      <c r="C8" s="4" t="inlineStr">
        <is>
          <t>35% of sales time lost</t>
        </is>
      </c>
      <c r="D8" s="22" t="n">
        <v>2400000</v>
      </c>
    </row>
    <row r="9">
      <c r="A9" s="20" t="inlineStr">
        <is>
          <t>Knowledge Gaps</t>
        </is>
      </c>
      <c r="B9" s="21" t="inlineStr">
        <is>
          <t>Junior reps struggle to answer technical questions (TPO vs EPDM), losing credibility</t>
        </is>
      </c>
      <c r="C9" s="4" t="inlineStr">
        <is>
          <t>Poor qualification</t>
        </is>
      </c>
      <c r="D9" s="22" t="n">
        <v>1500000</v>
      </c>
    </row>
    <row r="10">
      <c r="A10" s="20" t="inlineStr">
        <is>
          <t>Data Silos</t>
        </is>
      </c>
      <c r="B10" s="21" t="inlineStr">
        <is>
          <t>Salesforce CRM disconnected from property, weather, permit data</t>
        </is>
      </c>
      <c r="C10" s="4" t="inlineStr">
        <is>
          <t>Missed timing</t>
        </is>
      </c>
      <c r="D10" s="22" t="n">
        <v>1200000</v>
      </c>
    </row>
    <row r="11">
      <c r="A11" s="20" t="inlineStr">
        <is>
          <t>Seasonal Peaks</t>
        </is>
      </c>
      <c r="B11" s="21" t="inlineStr">
        <is>
          <t>Storm events create surge demand; can't scale manual outreach</t>
        </is>
      </c>
      <c r="C11" s="4" t="inlineStr">
        <is>
          <t>Lost emergency revenue</t>
        </is>
      </c>
      <c r="D11" s="22" t="n">
        <v>2800000</v>
      </c>
    </row>
    <row r="12">
      <c r="A12" s="20" t="inlineStr">
        <is>
          <t>Customer Experience</t>
        </is>
      </c>
      <c r="B12" s="21" t="inlineStr">
        <is>
          <t>Inconsistent follow-up; leads go cold</t>
        </is>
      </c>
      <c r="C12" s="4" t="inlineStr">
        <is>
          <t>40% lead leakage</t>
        </is>
      </c>
      <c r="D12" s="22" t="n">
        <v>3800000</v>
      </c>
    </row>
    <row r="13">
      <c r="A13" s="10" t="inlineStr">
        <is>
          <t>TOTAL FRICTION COST</t>
        </is>
      </c>
      <c r="D13" s="9">
        <f>SUM(D7:D12)</f>
        <v/>
      </c>
    </row>
    <row r="15">
      <c r="A15" s="2" t="inlineStr">
        <is>
          <t>STEP 3: THE SOLUTION - Autonomous Agent Swarm</t>
        </is>
      </c>
    </row>
    <row r="16">
      <c r="A16" s="3" t="inlineStr">
        <is>
          <t>Agent</t>
        </is>
      </c>
      <c r="B16" s="3" t="inlineStr">
        <is>
          <t>Role &amp; Responsibility</t>
        </is>
      </c>
      <c r="C16" s="3" t="inlineStr">
        <is>
          <t>Trigger &amp; Action</t>
        </is>
      </c>
      <c r="D16" s="3" t="inlineStr">
        <is>
          <t>Technology</t>
        </is>
      </c>
    </row>
    <row r="17">
      <c r="A17" s="8" t="inlineStr">
        <is>
          <t>THE SCOUT (Data Agent)</t>
        </is>
      </c>
      <c r="B17" s="21" t="inlineStr">
        <is>
          <t>Monitors new data sources (Hail maps, Permits, Property records). Identifies high-value targets matching ICP.</t>
        </is>
      </c>
      <c r="C17" s="21" t="inlineStr">
        <is>
          <t>Triggers alerts: 'Hail in Dallas—47 properties affected.' Creates CRM leads automatically in Salesforce.</t>
        </is>
      </c>
      <c r="D17" s="4" t="inlineStr">
        <is>
          <t>Web scrapers, APIs, ML classification</t>
        </is>
      </c>
    </row>
    <row r="18">
      <c r="A18" s="8" t="inlineStr">
        <is>
          <t>THE HUNTER (Outbound Agent)</t>
        </is>
      </c>
      <c r="B18" s="21" t="inlineStr">
        <is>
          <t>Takes leads from The Scout. Generates hyper-personalized messages. Executes multi-channel campaigns.</t>
        </is>
      </c>
      <c r="C18" s="21" t="inlineStr">
        <is>
          <t>'Saw your roof age is 20y and recent hail activity...' Campaigns via Email, SMS, LinkedIn—24/7 operation.</t>
        </is>
      </c>
      <c r="D18" s="4" t="inlineStr">
        <is>
          <t>LLM content generation, campaign automation</t>
        </is>
      </c>
    </row>
    <row r="19">
      <c r="A19" s="8" t="inlineStr">
        <is>
          <t>THE CONCIERGE (Inbound Agent)</t>
        </is>
      </c>
      <c r="B19" s="21" t="inlineStr">
        <is>
          <t>Lives on website/SMS. Qualifies inbound traffic 24/7. Answers technical questions (TPO vs EPDM) with RAG knowledge.</t>
        </is>
      </c>
      <c r="C19" s="21" t="inlineStr">
        <is>
          <t>'Do you have a leak?' → 'Let me get a truck rolled.' Instant &lt;2 minute response regardless of time.</t>
        </is>
      </c>
      <c r="D19" s="4" t="inlineStr">
        <is>
          <t>RAG, LLM chat, website integration</t>
        </is>
      </c>
    </row>
    <row r="20">
      <c r="A20" s="8" t="inlineStr">
        <is>
          <t>THE CLOSER (Scheduling Agent)</t>
        </is>
      </c>
      <c r="B20" s="21" t="inlineStr">
        <is>
          <t>Accesses human estimator calendars. Negotiates times, sends invites, handles rescheduling autonomously.</t>
        </is>
      </c>
      <c r="C20" s="21" t="inlineStr">
        <is>
          <t>Books meetings directly on calendar. Qualified leads handed off to Platform 1 (Sales Intelligence).</t>
        </is>
      </c>
      <c r="D20" s="4" t="inlineStr">
        <is>
          <t>Calendar API, constraint optimization</t>
        </is>
      </c>
    </row>
    <row r="22">
      <c r="A22" s="2" t="inlineStr">
        <is>
          <t>DATA SOURCES (Fueling the Engine)</t>
        </is>
      </c>
    </row>
    <row r="23">
      <c r="A23" s="3" t="inlineStr">
        <is>
          <t>Data Source</t>
        </is>
      </c>
      <c r="B23" s="3" t="inlineStr">
        <is>
          <t>Provider</t>
        </is>
      </c>
      <c r="C23" s="3" t="inlineStr">
        <is>
          <t>Trigger Use Case</t>
        </is>
      </c>
      <c r="D23" s="3" t="inlineStr">
        <is>
          <t>Annual Cost</t>
        </is>
      </c>
    </row>
    <row r="24">
      <c r="A24" s="4" t="inlineStr">
        <is>
          <t>Hail &amp; Storm Data</t>
        </is>
      </c>
      <c r="B24" s="4" t="inlineStr">
        <is>
          <t>HailTrace / Interactive Maps / AccuWeather</t>
        </is>
      </c>
      <c r="C24" s="4" t="inlineStr">
        <is>
          <t>Emergency Service campaigns immediately after storms</t>
        </is>
      </c>
      <c r="D24" s="11" t="n">
        <v>45000</v>
      </c>
    </row>
    <row r="25">
      <c r="A25" s="4" t="inlineStr">
        <is>
          <t>Building Permits</t>
        </is>
      </c>
      <c r="B25" s="4" t="inlineStr">
        <is>
          <t>ConstructConnect / Dodge Data</t>
        </is>
      </c>
      <c r="C25" s="4" t="inlineStr">
        <is>
          <t>New Roof bids based on active permits and project starts</t>
        </is>
      </c>
      <c r="D25" s="11" t="n">
        <v>85000</v>
      </c>
    </row>
    <row r="26">
      <c r="A26" s="4" t="inlineStr">
        <is>
          <t>Property Records</t>
        </is>
      </c>
      <c r="B26" s="4" t="inlineStr">
        <is>
          <t>CoStar / Reonomy / LoopNet</t>
        </is>
      </c>
      <c r="C26" s="4" t="inlineStr">
        <is>
          <t>Reroof opportunities—property age &gt;15y or ownership changes</t>
        </is>
      </c>
      <c r="D26" s="11" t="n">
        <v>120000</v>
      </c>
    </row>
    <row r="27">
      <c r="A27" s="4" t="inlineStr">
        <is>
          <t>Contact Enrichment</t>
        </is>
      </c>
      <c r="B27" s="4" t="inlineStr">
        <is>
          <t>ZoomInfo / Apollo / Lusha</t>
        </is>
      </c>
      <c r="C27" s="4" t="inlineStr">
        <is>
          <t>Decision-maker identification and contact data</t>
        </is>
      </c>
      <c r="D27" s="11" t="n">
        <v>95000</v>
      </c>
    </row>
    <row r="28">
      <c r="A28" s="4" t="inlineStr">
        <is>
          <t>Intent Signals</t>
        </is>
      </c>
      <c r="B28" s="4" t="inlineStr">
        <is>
          <t>Bombora / TrustRadius</t>
        </is>
      </c>
      <c r="C28" s="4" t="inlineStr">
        <is>
          <t>Identify companies researching roofing services</t>
        </is>
      </c>
      <c r="D28" s="11" t="n">
        <v>65000</v>
      </c>
    </row>
    <row r="29">
      <c r="A29" s="10" t="inlineStr">
        <is>
          <t>TOTAL DATA INVESTMENT</t>
        </is>
      </c>
      <c r="D29" s="9">
        <f>SUM(D24:D28)</f>
        <v/>
      </c>
    </row>
    <row r="31">
      <c r="A31" s="2" t="inlineStr">
        <is>
          <t>INPUT PARAMETERS (Modify to see impact)</t>
        </is>
      </c>
    </row>
    <row r="32">
      <c r="A32" s="3" t="inlineStr">
        <is>
          <t>Parameter</t>
        </is>
      </c>
      <c r="B32" s="3" t="inlineStr">
        <is>
          <t>Value</t>
        </is>
      </c>
      <c r="C32" s="3" t="inlineStr">
        <is>
          <t>Unit</t>
        </is>
      </c>
      <c r="D32" s="3" t="inlineStr">
        <is>
          <t>Description</t>
        </is>
      </c>
    </row>
    <row r="33">
      <c r="A33" s="4" t="inlineStr">
        <is>
          <t>Annual Leads Generated</t>
        </is>
      </c>
      <c r="B33" s="16" t="n">
        <v>10000</v>
      </c>
      <c r="C33" s="4" t="inlineStr">
        <is>
          <t>#</t>
        </is>
      </c>
      <c r="D33" s="13" t="inlineStr">
        <is>
          <t>Target leads from AI agent swarm</t>
        </is>
      </c>
    </row>
    <row r="34">
      <c r="A34" s="4" t="inlineStr">
        <is>
          <t>Lead-to-Meeting Conversion Rate</t>
        </is>
      </c>
      <c r="B34" s="15" t="n">
        <v>0.12</v>
      </c>
      <c r="C34" s="4" t="inlineStr">
        <is>
          <t>%</t>
        </is>
      </c>
      <c r="D34" s="13" t="inlineStr">
        <is>
          <t>12% conversion (industry: 5.58%)</t>
        </is>
      </c>
    </row>
    <row r="35">
      <c r="A35" s="4" t="inlineStr">
        <is>
          <t>Meeting-to-Close Rate</t>
        </is>
      </c>
      <c r="B35" s="15" t="n">
        <v>0.2</v>
      </c>
      <c r="C35" s="4" t="inlineStr">
        <is>
          <t>%</t>
        </is>
      </c>
      <c r="D35" s="13" t="inlineStr">
        <is>
          <t>20% of meetings become projects</t>
        </is>
      </c>
    </row>
    <row r="36">
      <c r="A36" s="4" t="inlineStr">
        <is>
          <t>Target Cost Per Lead</t>
        </is>
      </c>
      <c r="B36" s="11" t="n">
        <v>120</v>
      </c>
      <c r="C36" s="4" t="inlineStr">
        <is>
          <t>USD</t>
        </is>
      </c>
      <c r="D36" s="13" t="inlineStr">
        <is>
          <t>Reduced from $350 baseline</t>
        </is>
      </c>
    </row>
    <row r="37">
      <c r="A37" s="4" t="inlineStr">
        <is>
          <t>Maintenance Plan Attach Rate</t>
        </is>
      </c>
      <c r="B37" s="15" t="n">
        <v>0.25</v>
      </c>
      <c r="C37" s="4" t="inlineStr">
        <is>
          <t>%</t>
        </is>
      </c>
      <c r="D37" s="13" t="inlineStr">
        <is>
          <t>25% of new projects add maintenance</t>
        </is>
      </c>
    </row>
    <row r="38">
      <c r="A38" s="4" t="inlineStr">
        <is>
          <t>Maintenance Plan Annual Value</t>
        </is>
      </c>
      <c r="B38" s="11" t="n">
        <v>25000</v>
      </c>
      <c r="C38" s="4" t="inlineStr">
        <is>
          <t>USD</t>
        </is>
      </c>
      <c r="D38" s="13" t="inlineStr">
        <is>
          <t>Average annual maintenance contract</t>
        </is>
      </c>
    </row>
    <row r="39">
      <c r="A39" s="4" t="inlineStr">
        <is>
          <t>Sales Cycle Reduction</t>
        </is>
      </c>
      <c r="B39" s="16" t="n">
        <v>14</v>
      </c>
      <c r="C39" s="4" t="inlineStr">
        <is>
          <t>days</t>
        </is>
      </c>
      <c r="D39" s="13" t="inlineStr">
        <is>
          <t>Days saved in sales cycle</t>
        </is>
      </c>
    </row>
    <row r="40">
      <c r="A40" s="4" t="inlineStr">
        <is>
          <t>Platform Development Cost</t>
        </is>
      </c>
      <c r="B40" s="11" t="n">
        <v>1200000</v>
      </c>
      <c r="C40" s="4" t="inlineStr">
        <is>
          <t>USD</t>
        </is>
      </c>
      <c r="D40" s="13" t="inlineStr">
        <is>
          <t>One-time investment</t>
        </is>
      </c>
    </row>
    <row r="42">
      <c r="A42" s="2" t="inlineStr">
        <is>
          <t>STEP 5: KPI DASHBOARD vs. Industry Benchmarks</t>
        </is>
      </c>
    </row>
    <row r="43">
      <c r="A43" s="3" t="inlineStr">
        <is>
          <t>KPI</t>
        </is>
      </c>
      <c r="B43" s="3" t="inlineStr">
        <is>
          <t>Baseline (Manual)</t>
        </is>
      </c>
      <c r="C43" s="3" t="inlineStr">
        <is>
          <t>Target (AI Agent)</t>
        </is>
      </c>
      <c r="D43" s="3" t="inlineStr">
        <is>
          <t>Industry Benchmark</t>
        </is>
      </c>
      <c r="E43" s="3" t="inlineStr">
        <is>
          <t>Improvement</t>
        </is>
      </c>
    </row>
    <row r="44">
      <c r="A44" s="4" t="inlineStr">
        <is>
          <t>Speed to Lead</t>
        </is>
      </c>
      <c r="B44" s="23" t="inlineStr">
        <is>
          <t>4 hours</t>
        </is>
      </c>
      <c r="C44" s="7" t="inlineStr">
        <is>
          <t>&lt;2 minutes</t>
        </is>
      </c>
      <c r="D44" s="4" t="inlineStr">
        <is>
          <t>5 minutes</t>
        </is>
      </c>
      <c r="E44" s="6">
        <f>1-2/(4*60)</f>
        <v/>
      </c>
    </row>
    <row r="45">
      <c r="A45" s="4" t="inlineStr">
        <is>
          <t>Cost Per Lead (CPL)</t>
        </is>
      </c>
      <c r="B45" s="5">
        <f>'Company Baseline'!B25</f>
        <v/>
      </c>
      <c r="C45" s="5">
        <f>B36</f>
        <v/>
      </c>
      <c r="D45" s="4" t="inlineStr">
        <is>
          <t>350</t>
        </is>
      </c>
      <c r="E45" s="6">
        <f>1-C44/B44</f>
        <v/>
      </c>
    </row>
    <row r="46">
      <c r="A46" s="4" t="inlineStr">
        <is>
          <t>Lead Volume (Annual)</t>
        </is>
      </c>
      <c r="B46" s="7">
        <f>'Company Baseline'!B24</f>
        <v/>
      </c>
      <c r="C46" s="7">
        <f>B33</f>
        <v/>
      </c>
      <c r="D46" s="4" t="inlineStr">
        <is>
          <t>-</t>
        </is>
      </c>
      <c r="E46" s="6">
        <f>C45/B45-1</f>
        <v/>
      </c>
    </row>
    <row r="47">
      <c r="A47" s="4" t="inlineStr">
        <is>
          <t>Conversion (Lead→Meeting)</t>
        </is>
      </c>
      <c r="B47" s="24" t="n">
        <v>0.05</v>
      </c>
      <c r="C47" s="6">
        <f>B34</f>
        <v/>
      </c>
      <c r="D47" s="4" t="n">
        <v>0.0558</v>
      </c>
      <c r="E47" s="6">
        <f>C46/B46-1</f>
        <v/>
      </c>
    </row>
    <row r="48">
      <c r="A48" s="4" t="inlineStr">
        <is>
          <t>Maintenance Plan Attach Rate</t>
        </is>
      </c>
      <c r="B48" s="24" t="n">
        <v>0.1</v>
      </c>
      <c r="C48" s="6">
        <f>B37</f>
        <v/>
      </c>
      <c r="D48" s="4" t="inlineStr">
        <is>
          <t>-</t>
        </is>
      </c>
      <c r="E48" s="6">
        <f>C47/B47-1</f>
        <v/>
      </c>
    </row>
    <row r="49">
      <c r="A49" s="4" t="inlineStr">
        <is>
          <t>Sales Cycle Reduction</t>
        </is>
      </c>
      <c r="B49" s="23" t="inlineStr">
        <is>
          <t>-</t>
        </is>
      </c>
      <c r="C49" s="7">
        <f>B39</f>
        <v/>
      </c>
      <c r="D49" s="4" t="inlineStr">
        <is>
          <t>-</t>
        </is>
      </c>
      <c r="E49" s="25" t="inlineStr">
        <is>
          <t>-</t>
        </is>
      </c>
    </row>
    <row r="51">
      <c r="A51" s="2" t="inlineStr">
        <is>
          <t>STEP 6: FINANCIAL IMPACT CALCULATIONS</t>
        </is>
      </c>
    </row>
    <row r="52">
      <c r="A52" s="3" t="inlineStr">
        <is>
          <t>Calculation Step</t>
        </is>
      </c>
      <c r="B52" s="3" t="inlineStr">
        <is>
          <t>Formula</t>
        </is>
      </c>
      <c r="C52" s="3" t="inlineStr">
        <is>
          <t>Result</t>
        </is>
      </c>
      <c r="D52" s="3" t="inlineStr">
        <is>
          <t>Unit</t>
        </is>
      </c>
    </row>
    <row r="53">
      <c r="A53" s="4" t="inlineStr">
        <is>
          <t>Qualified Meetings</t>
        </is>
      </c>
      <c r="B53" s="14">
        <f>Leads × Lead-to-Meeting Rate</f>
        <v/>
      </c>
      <c r="C53" s="7">
        <f>B33*B34</f>
        <v/>
      </c>
      <c r="D53" s="4" t="inlineStr">
        <is>
          <t>#</t>
        </is>
      </c>
    </row>
    <row r="54">
      <c r="A54" s="4" t="inlineStr">
        <is>
          <t>New Projects Won</t>
        </is>
      </c>
      <c r="B54" s="14">
        <f>Meetings × Meeting-to-Close Rate</f>
        <v/>
      </c>
      <c r="C54" s="7">
        <f>C53*B35</f>
        <v/>
      </c>
      <c r="D54" s="4" t="inlineStr">
        <is>
          <t>#</t>
        </is>
      </c>
    </row>
    <row r="55">
      <c r="A55" s="4" t="inlineStr">
        <is>
          <t>Gross Revenue from New Projects</t>
        </is>
      </c>
      <c r="B55" s="14">
        <f>Projects × Avg Project Value</f>
        <v/>
      </c>
      <c r="C55" s="5">
        <f>C54*'Company Baseline'!B18</f>
        <v/>
      </c>
      <c r="D55" s="4" t="inlineStr">
        <is>
          <t>USD</t>
        </is>
      </c>
    </row>
    <row r="56">
      <c r="A56" s="4" t="inlineStr">
        <is>
          <t>Net Revenue Contribution</t>
        </is>
      </c>
      <c r="B56" s="14">
        <f>Gross Revenue × Net Margin</f>
        <v/>
      </c>
      <c r="C56" s="5">
        <f>C55*'Company Baseline'!B9</f>
        <v/>
      </c>
      <c r="D56" s="4" t="inlineStr">
        <is>
          <t>USD</t>
        </is>
      </c>
    </row>
    <row r="58">
      <c r="A58" s="26" t="inlineStr">
        <is>
          <t>FINANCIAL IMPACT SUMMARY</t>
        </is>
      </c>
    </row>
    <row r="59">
      <c r="A59" s="3" t="inlineStr">
        <is>
          <t>Impact Category</t>
        </is>
      </c>
      <c r="B59" s="3" t="inlineStr">
        <is>
          <t>Formula</t>
        </is>
      </c>
      <c r="C59" s="3" t="inlineStr">
        <is>
          <t>Annual Value</t>
        </is>
      </c>
      <c r="D59" s="3" t="inlineStr">
        <is>
          <t>% of Platform</t>
        </is>
      </c>
    </row>
    <row r="60">
      <c r="A60" s="4" t="inlineStr">
        <is>
          <t>Revenue Growth (New Projects)</t>
        </is>
      </c>
      <c r="B60" s="14">
        <f>Net Revenue Contribution</f>
        <v/>
      </c>
      <c r="C60" s="5">
        <f>C56</f>
        <v/>
      </c>
      <c r="D60" s="6">
        <f>C60/$C$65</f>
        <v/>
      </c>
    </row>
    <row r="61">
      <c r="A61" s="4" t="inlineStr">
        <is>
          <t>Cost Savings (CPL Reduction)</t>
        </is>
      </c>
      <c r="B61" s="14">
        <f>(Baseline CPL - AI CPL) × Leads</f>
        <v/>
      </c>
      <c r="C61" s="5">
        <f>('Company Baseline'!B25-B36)*B33</f>
        <v/>
      </c>
      <c r="D61" s="6">
        <f>C61/$C$65</f>
        <v/>
      </c>
    </row>
    <row r="62">
      <c r="A62" s="4" t="inlineStr">
        <is>
          <t>Cash Flow Impact (-14 Days)</t>
        </is>
      </c>
      <c r="B62" s="14">
        <f>Projects × Days × Daily Revenue</f>
        <v/>
      </c>
      <c r="C62" s="5">
        <f>C54*B39*'Company Baseline'!B20</f>
        <v/>
      </c>
      <c r="D62" s="6">
        <f>C62/$C$65</f>
        <v/>
      </c>
    </row>
    <row r="63">
      <c r="A63" s="4" t="inlineStr">
        <is>
          <t>Maintenance Plan Revenue</t>
        </is>
      </c>
      <c r="B63" s="14">
        <f>Projects × Attach Rate × Annual Value</f>
        <v/>
      </c>
      <c r="C63" s="5">
        <f>C54*B37*B38</f>
        <v/>
      </c>
      <c r="D63" s="6">
        <f>C63/$C$65</f>
        <v/>
      </c>
    </row>
    <row r="64">
      <c r="A64" s="4" t="inlineStr">
        <is>
          <t>Risk Reduction (Diversification)</t>
        </is>
      </c>
      <c r="B64" s="14" t="inlineStr">
        <is>
          <t>Estimated 5% of revenue growth</t>
        </is>
      </c>
      <c r="C64" s="11" t="n">
        <v>500000</v>
      </c>
      <c r="D64" s="6">
        <f>C64/$C$65</f>
        <v/>
      </c>
    </row>
    <row r="65">
      <c r="A65" s="8" t="inlineStr">
        <is>
          <t>PLATFORM 0 TOTAL BENEFIT</t>
        </is>
      </c>
      <c r="C65" s="9">
        <f>SUM(C60:C64)</f>
        <v/>
      </c>
      <c r="D65" s="10" t="inlineStr">
        <is>
          <t>100%</t>
        </is>
      </c>
    </row>
    <row r="67">
      <c r="A67" s="26" t="inlineStr">
        <is>
          <t>INVESTMENT &amp; ROI ANALYSIS</t>
        </is>
      </c>
    </row>
    <row r="68">
      <c r="A68" s="3" t="inlineStr">
        <is>
          <t>Metric</t>
        </is>
      </c>
      <c r="B68" s="3" t="inlineStr">
        <is>
          <t>Formula</t>
        </is>
      </c>
      <c r="C68" s="3" t="inlineStr">
        <is>
          <t>Value</t>
        </is>
      </c>
    </row>
    <row r="69">
      <c r="A69" s="4" t="inlineStr">
        <is>
          <t>Platform Development Cost</t>
        </is>
      </c>
      <c r="B69" s="14" t="inlineStr">
        <is>
          <t>Input</t>
        </is>
      </c>
      <c r="C69" s="5">
        <f>B40</f>
        <v/>
      </c>
    </row>
    <row r="70">
      <c r="A70" s="4" t="inlineStr">
        <is>
          <t>Annual Data Source Costs</t>
        </is>
      </c>
      <c r="B70" s="14">
        <f>SUM of data sources</f>
        <v/>
      </c>
      <c r="C70" s="5">
        <f>D29</f>
        <v/>
      </c>
    </row>
    <row r="71">
      <c r="A71" s="4" t="inlineStr">
        <is>
          <t>Total Year 1 Investment</t>
        </is>
      </c>
      <c r="B71" s="14">
        <f>Development + Data</f>
        <v/>
      </c>
      <c r="C71" s="5">
        <f>C69+C70</f>
        <v/>
      </c>
    </row>
    <row r="72">
      <c r="A72" s="4" t="inlineStr">
        <is>
          <t>Annual Benefit</t>
        </is>
      </c>
      <c r="B72" s="14">
        <f>Platform 0 Total</f>
        <v/>
      </c>
      <c r="C72" s="5">
        <f>C65</f>
        <v/>
      </c>
    </row>
    <row r="73">
      <c r="A73" s="4" t="inlineStr">
        <is>
          <t>Net Year 1 Benefit</t>
        </is>
      </c>
      <c r="B73" s="14">
        <f>Benefit - Investment</f>
        <v/>
      </c>
      <c r="C73" s="5">
        <f>C72-C71</f>
        <v/>
      </c>
    </row>
    <row r="74">
      <c r="A74" s="4" t="inlineStr">
        <is>
          <t>Year 1 ROI</t>
        </is>
      </c>
      <c r="B74" s="14">
        <f>(Benefit - Investment) / Investment</f>
        <v/>
      </c>
      <c r="C74" s="6">
        <f>(C72-C71)/C71</f>
        <v/>
      </c>
    </row>
    <row r="75">
      <c r="A75" s="4" t="inlineStr">
        <is>
          <t>Payback Period (Months)</t>
        </is>
      </c>
      <c r="B75" s="14">
        <f>Investment / Monthly Benefit</f>
        <v/>
      </c>
      <c r="C75" s="27">
        <f>C71/(C72/12)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1">
      <c r="A1" s="28" t="inlineStr">
        <is>
          <t>PLATFORM 1: AI SALES INTELLIGENCE</t>
        </is>
      </c>
    </row>
    <row r="2">
      <c r="A2" s="18" t="inlineStr">
        <is>
          <t>Intelligent Bid Selection and Competitive Analysis</t>
        </is>
      </c>
    </row>
    <row r="3">
      <c r="A3" s="29" t="inlineStr">
        <is>
          <t>Annual Financial Benefit: $24,195,000</t>
        </is>
      </c>
    </row>
    <row r="5">
      <c r="A5" s="2" t="inlineStr">
        <is>
          <t>STEP 2: FRICTION POINT INVENTORY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Knowledge Gaps</t>
        </is>
      </c>
      <c r="B7" s="4" t="inlineStr">
        <is>
          <t>No visibility into which bids to pursue vs. walk away</t>
        </is>
      </c>
      <c r="C7" s="4" t="inlineStr">
        <is>
          <t>22% win rate (below potential)</t>
        </is>
      </c>
      <c r="D7" s="22" t="n">
        <v>14400000</v>
      </c>
    </row>
    <row r="8">
      <c r="A8" s="20" t="inlineStr">
        <is>
          <t>Data Silos</t>
        </is>
      </c>
      <c r="B8" s="4" t="inlineStr">
        <is>
          <t>Competitor pricing/strategies unknown</t>
        </is>
      </c>
      <c r="C8" s="4" t="inlineStr">
        <is>
          <t>Losing winnable deals</t>
        </is>
      </c>
      <c r="D8" s="22" t="n">
        <v>7200000</v>
      </c>
    </row>
    <row r="9">
      <c r="A9" s="20" t="inlineStr">
        <is>
          <t>Low-Value Work</t>
        </is>
      </c>
      <c r="B9" s="4" t="inlineStr">
        <is>
          <t>Manual competitor research takes 3+ hours per bid</t>
        </is>
      </c>
      <c r="C9" s="4" t="inlineStr">
        <is>
          <t>Reduced bid capacity</t>
        </is>
      </c>
      <c r="D9" s="22" t="n">
        <v>2100000</v>
      </c>
    </row>
    <row r="10">
      <c r="A10" s="10" t="inlineStr">
        <is>
          <t>TOTAL FRICTION COST</t>
        </is>
      </c>
      <c r="D10" s="9">
        <f>SUM(D7:D9)</f>
        <v/>
      </c>
    </row>
    <row r="12">
      <c r="A12" s="2" t="inlineStr">
        <is>
          <t>STEP 3: USE CASE MAPPING</t>
        </is>
      </c>
    </row>
    <row r="13">
      <c r="A13" s="3" t="inlineStr">
        <is>
          <t>ID</t>
        </is>
      </c>
      <c r="B13" s="3" t="inlineStr">
        <is>
          <t>Use Case</t>
        </is>
      </c>
      <c r="C13" s="3" t="inlineStr">
        <is>
          <t>Workflow Description</t>
        </is>
      </c>
      <c r="D13" s="3" t="inlineStr">
        <is>
          <t>Primary Value</t>
        </is>
      </c>
    </row>
    <row r="14">
      <c r="A14" s="4" t="n">
        <v>25</v>
      </c>
      <c r="B14" s="8" t="inlineStr">
        <is>
          <t>Bid Assignment AI</t>
        </is>
      </c>
      <c r="C14" s="21" t="inlineStr">
        <is>
          <t>AI scores opportunities in Salesforce, matches to team strengths, recommends pursue/pass</t>
        </is>
      </c>
      <c r="D14" s="4" t="inlineStr">
        <is>
          <t>Optimal bid selection</t>
        </is>
      </c>
    </row>
    <row r="15">
      <c r="A15" s="4" t="n">
        <v>23</v>
      </c>
      <c r="B15" s="8" t="inlineStr">
        <is>
          <t>Competitor Proposal Analysis</t>
        </is>
      </c>
      <c r="C15" s="21" t="inlineStr">
        <is>
          <t>AI analyzes historical competitor proposals to identify patterns</t>
        </is>
      </c>
      <c r="D15" s="4" t="inlineStr">
        <is>
          <t>Competitive intelligence</t>
        </is>
      </c>
    </row>
    <row r="16">
      <c r="A16" s="4" t="n">
        <v>24</v>
      </c>
      <c r="B16" s="8" t="inlineStr">
        <is>
          <t>Competitor Info Scouting</t>
        </is>
      </c>
      <c r="C16" s="21" t="inlineStr">
        <is>
          <t>AI monitors competitor activities, pricing, market moves</t>
        </is>
      </c>
      <c r="D16" s="4" t="inlineStr">
        <is>
          <t>Market intelligence</t>
        </is>
      </c>
    </row>
    <row r="18">
      <c r="A18" s="2" t="inlineStr">
        <is>
          <t>INPUT PARAMETERS</t>
        </is>
      </c>
    </row>
    <row r="19">
      <c r="A19" s="3" t="inlineStr">
        <is>
          <t>Parameter</t>
        </is>
      </c>
      <c r="B19" s="3" t="inlineStr">
        <is>
          <t>Value</t>
        </is>
      </c>
      <c r="C19" s="3" t="inlineStr">
        <is>
          <t>Unit</t>
        </is>
      </c>
      <c r="D19" s="3" t="inlineStr">
        <is>
          <t>Description</t>
        </is>
      </c>
    </row>
    <row r="20">
      <c r="A20" s="4" t="inlineStr">
        <is>
          <t>Win Rate Improvement</t>
        </is>
      </c>
      <c r="B20" s="16" t="n">
        <v>11</v>
      </c>
      <c r="C20" s="4" t="inlineStr">
        <is>
          <t>pts</t>
        </is>
      </c>
      <c r="D20" s="13" t="inlineStr">
        <is>
          <t>Percentage points improvement (22% → 33%)</t>
        </is>
      </c>
    </row>
    <row r="21">
      <c r="A21" s="4" t="inlineStr">
        <is>
          <t>Bid Evaluation Time - Current</t>
        </is>
      </c>
      <c r="B21" s="30" t="n">
        <v>3</v>
      </c>
      <c r="C21" s="4" t="inlineStr">
        <is>
          <t>hrs</t>
        </is>
      </c>
      <c r="D21" s="13" t="inlineStr">
        <is>
          <t>Hours per bid currently</t>
        </is>
      </c>
    </row>
    <row r="22">
      <c r="A22" s="4" t="inlineStr">
        <is>
          <t>Bid Evaluation Time - With AI</t>
        </is>
      </c>
      <c r="B22" s="30" t="n">
        <v>0.5</v>
      </c>
      <c r="C22" s="4" t="inlineStr">
        <is>
          <t>hrs</t>
        </is>
      </c>
      <c r="D22" s="13" t="inlineStr">
        <is>
          <t>Hours per bid with AI</t>
        </is>
      </c>
    </row>
    <row r="23">
      <c r="A23" s="4" t="inlineStr">
        <is>
          <t>Bid Assignment Attribution</t>
        </is>
      </c>
      <c r="B23" s="15" t="n">
        <v>0.55</v>
      </c>
      <c r="C23" s="4" t="inlineStr">
        <is>
          <t>%</t>
        </is>
      </c>
      <c r="D23" s="13" t="inlineStr">
        <is>
          <t>55% of improvement from bid assignment (6 pts)</t>
        </is>
      </c>
    </row>
    <row r="24">
      <c r="A24" s="4" t="inlineStr">
        <is>
          <t>Competitor Analysis Attribution</t>
        </is>
      </c>
      <c r="B24" s="15" t="n">
        <v>0.27</v>
      </c>
      <c r="C24" s="4" t="inlineStr">
        <is>
          <t>%</t>
        </is>
      </c>
      <c r="D24" s="13" t="inlineStr">
        <is>
          <t>27% from competitor analysis (3 pts)</t>
        </is>
      </c>
    </row>
    <row r="25">
      <c r="A25" s="4" t="inlineStr">
        <is>
          <t>Competitor Scouting Attribution</t>
        </is>
      </c>
      <c r="B25" s="15" t="n">
        <v>0.09</v>
      </c>
      <c r="C25" s="4" t="inlineStr">
        <is>
          <t>%</t>
        </is>
      </c>
      <c r="D25" s="13" t="inlineStr">
        <is>
          <t>9% from competitor scouting (1 pt)</t>
        </is>
      </c>
    </row>
    <row r="26">
      <c r="A26" s="4" t="inlineStr">
        <is>
          <t>Edge Reviews Attribution (P2)</t>
        </is>
      </c>
      <c r="B26" s="15" t="n">
        <v>0.09</v>
      </c>
      <c r="C26" s="4" t="inlineStr">
        <is>
          <t>%</t>
        </is>
      </c>
      <c r="D26" s="13" t="inlineStr">
        <is>
          <t>9% from Platform 2 (1 pt)</t>
        </is>
      </c>
    </row>
    <row r="28">
      <c r="A28" s="2" t="inlineStr">
        <is>
          <t>STEP 5: KPI DEFINITIONS</t>
        </is>
      </c>
    </row>
    <row r="29">
      <c r="A29" s="3" t="inlineStr">
        <is>
          <t>Use Case</t>
        </is>
      </c>
      <c r="B29" s="3" t="inlineStr">
        <is>
          <t>KPI</t>
        </is>
      </c>
      <c r="C29" s="3" t="inlineStr">
        <is>
          <t>Baseline</t>
        </is>
      </c>
      <c r="D29" s="3" t="inlineStr">
        <is>
          <t>Target</t>
        </is>
      </c>
      <c r="E29" s="3" t="inlineStr">
        <is>
          <t>Improvement</t>
        </is>
      </c>
    </row>
    <row r="30">
      <c r="A30" s="4" t="inlineStr">
        <is>
          <t>Bid Assignment</t>
        </is>
      </c>
      <c r="B30" s="4" t="inlineStr">
        <is>
          <t>Win Rate</t>
        </is>
      </c>
      <c r="C30" s="6">
        <f>'Company Baseline'!B17</f>
        <v/>
      </c>
      <c r="D30" s="6">
        <f>C30+B20/100</f>
        <v/>
      </c>
      <c r="E30" s="6">
        <f>D30/C30-1</f>
        <v/>
      </c>
    </row>
    <row r="31">
      <c r="A31" s="4" t="inlineStr">
        <is>
          <t>Bid Assignment</t>
        </is>
      </c>
      <c r="B31" s="4" t="inlineStr">
        <is>
          <t>Bid evaluation time (hours)</t>
        </is>
      </c>
      <c r="C31" s="27">
        <f>B21</f>
        <v/>
      </c>
      <c r="D31" s="27">
        <f>B22</f>
        <v/>
      </c>
      <c r="E31" s="6">
        <f>1-D31/C31</f>
        <v/>
      </c>
    </row>
    <row r="32">
      <c r="A32" s="4" t="inlineStr">
        <is>
          <t>Competitor Analysis</t>
        </is>
      </c>
      <c r="B32" s="4" t="inlineStr">
        <is>
          <t>Competitive insights/bid</t>
        </is>
      </c>
      <c r="C32" s="16" t="n">
        <v>2</v>
      </c>
      <c r="D32" s="7" t="n">
        <v>8</v>
      </c>
      <c r="E32" s="6">
        <f>D32/C32-1</f>
        <v/>
      </c>
    </row>
    <row r="33">
      <c r="A33" s="4" t="inlineStr">
        <is>
          <t>Competitor Scouting</t>
        </is>
      </c>
      <c r="B33" s="4" t="inlineStr">
        <is>
          <t>Market intel updates/week</t>
        </is>
      </c>
      <c r="C33" s="16" t="n">
        <v>1</v>
      </c>
      <c r="D33" s="7" t="n">
        <v>7</v>
      </c>
      <c r="E33" s="6">
        <f>D33/C33-1</f>
        <v/>
      </c>
    </row>
    <row r="35">
      <c r="A35" s="2" t="inlineStr">
        <is>
          <t>STEP 6: FINANCIAL CALCULATIONS</t>
        </is>
      </c>
    </row>
    <row r="36">
      <c r="A36" s="3" t="inlineStr">
        <is>
          <t>Calculation Step</t>
        </is>
      </c>
      <c r="B36" s="3" t="inlineStr">
        <is>
          <t>Formula</t>
        </is>
      </c>
      <c r="C36" s="3" t="inlineStr">
        <is>
          <t>Result</t>
        </is>
      </c>
      <c r="D36" s="3" t="inlineStr">
        <is>
          <t>Unit</t>
        </is>
      </c>
    </row>
    <row r="37">
      <c r="A37" s="4" t="inlineStr">
        <is>
          <t>Current Win Rate</t>
        </is>
      </c>
      <c r="B37" s="14" t="inlineStr">
        <is>
          <t>From Company Baseline</t>
        </is>
      </c>
      <c r="C37" s="6">
        <f>'Company Baseline'!B17</f>
        <v/>
      </c>
      <c r="D37" s="4" t="inlineStr">
        <is>
          <t>%</t>
        </is>
      </c>
    </row>
    <row r="38">
      <c r="A38" s="4" t="inlineStr">
        <is>
          <t>New Win Rate</t>
        </is>
      </c>
      <c r="B38" s="14">
        <f>Current + Improvement pts</f>
        <v/>
      </c>
      <c r="C38" s="6">
        <f>C37+B20/100</f>
        <v/>
      </c>
      <c r="D38" s="4" t="inlineStr">
        <is>
          <t>%</t>
        </is>
      </c>
    </row>
    <row r="39">
      <c r="A39" s="4" t="inlineStr">
        <is>
          <t>Additional Wins per Year</t>
        </is>
      </c>
      <c r="B39" s="14">
        <f>Bids × Improvement %</f>
        <v/>
      </c>
      <c r="C39" s="7">
        <f>'Company Baseline'!B16*B20/100</f>
        <v/>
      </c>
      <c r="D39" s="4" t="inlineStr">
        <is>
          <t>#</t>
        </is>
      </c>
    </row>
    <row r="40">
      <c r="A40" s="4" t="inlineStr">
        <is>
          <t>Time Saved per Bid (hrs)</t>
        </is>
      </c>
      <c r="B40" s="14">
        <f>Current - AI Time</f>
        <v/>
      </c>
      <c r="C40" s="7">
        <f>B21-B22</f>
        <v/>
      </c>
      <c r="D40" s="4" t="inlineStr">
        <is>
          <t>hrs</t>
        </is>
      </c>
    </row>
    <row r="41">
      <c r="A41" s="4" t="inlineStr">
        <is>
          <t>Total Hours Saved per Year</t>
        </is>
      </c>
      <c r="B41" s="14">
        <f>Bids × Hours Saved</f>
        <v/>
      </c>
      <c r="C41" s="7">
        <f>'Company Baseline'!B16*C40</f>
        <v/>
      </c>
      <c r="D41" s="4" t="inlineStr">
        <is>
          <t>hrs</t>
        </is>
      </c>
    </row>
    <row r="42">
      <c r="A42" s="4" t="inlineStr">
        <is>
          <t>Revenue per Additional Win</t>
        </is>
      </c>
      <c r="B42" s="14">
        <f>Avg Project × Gross Margin</f>
        <v/>
      </c>
      <c r="C42" s="5">
        <f>'Company Baseline'!B18*'Company Baseline'!B8</f>
        <v/>
      </c>
      <c r="D42" s="4" t="inlineStr">
        <is>
          <t>USD</t>
        </is>
      </c>
    </row>
    <row r="43">
      <c r="A43" s="4" t="inlineStr">
        <is>
          <t>Total Revenue from Wins</t>
        </is>
      </c>
      <c r="B43" s="14">
        <f>Additional Wins × Revenue Each</f>
        <v/>
      </c>
      <c r="C43" s="5">
        <f>C39*C42</f>
        <v/>
      </c>
      <c r="D43" s="4" t="inlineStr">
        <is>
          <t>USD</t>
        </is>
      </c>
    </row>
    <row r="44">
      <c r="A44" s="4" t="inlineStr">
        <is>
          <t>Labor Cost Savings</t>
        </is>
      </c>
      <c r="B44" s="14">
        <f>Hours Saved × Hourly Rate</f>
        <v/>
      </c>
      <c r="C44" s="5">
        <f>C41*'Company Baseline'!C32</f>
        <v/>
      </c>
      <c r="D44" s="4" t="inlineStr">
        <is>
          <t>USD</t>
        </is>
      </c>
    </row>
    <row r="46">
      <c r="A46" s="26" t="inlineStr">
        <is>
          <t>USE CASE FINANCIAL BREAKDOWN</t>
        </is>
      </c>
    </row>
    <row r="47">
      <c r="A47" s="3" t="inlineStr">
        <is>
          <t>Use Case</t>
        </is>
      </c>
      <c r="B47" s="3" t="inlineStr">
        <is>
          <t>Attribution</t>
        </is>
      </c>
      <c r="C47" s="3" t="inlineStr">
        <is>
          <t>Labor Savings</t>
        </is>
      </c>
      <c r="D47" s="3" t="inlineStr">
        <is>
          <t>Revenue Growth</t>
        </is>
      </c>
      <c r="E47" s="3" t="inlineStr">
        <is>
          <t>Total</t>
        </is>
      </c>
    </row>
    <row r="48">
      <c r="A48" s="4" t="inlineStr">
        <is>
          <t>Bid Assignment AI</t>
        </is>
      </c>
      <c r="B48" s="6">
        <f>B23</f>
        <v/>
      </c>
      <c r="C48" s="5">
        <f>C44*0.3</f>
        <v/>
      </c>
      <c r="D48" s="5">
        <f>C43*B23</f>
        <v/>
      </c>
      <c r="E48" s="5">
        <f>C48+D48</f>
        <v/>
      </c>
    </row>
    <row r="49">
      <c r="A49" s="4" t="inlineStr">
        <is>
          <t>Competitor Proposal Analysis</t>
        </is>
      </c>
      <c r="B49" s="6">
        <f>B24</f>
        <v/>
      </c>
      <c r="C49" s="5">
        <f>C44*0.33</f>
        <v/>
      </c>
      <c r="D49" s="5">
        <f>C43*B24</f>
        <v/>
      </c>
      <c r="E49" s="5">
        <f>C49+D49</f>
        <v/>
      </c>
    </row>
    <row r="50">
      <c r="A50" s="4" t="inlineStr">
        <is>
          <t>Competitor Info Scouting</t>
        </is>
      </c>
      <c r="B50" s="6">
        <f>B25</f>
        <v/>
      </c>
      <c r="C50" s="5">
        <f>C44*0.37</f>
        <v/>
      </c>
      <c r="D50" s="5">
        <f>C43*B25</f>
        <v/>
      </c>
      <c r="E50" s="5">
        <f>C50+D50</f>
        <v/>
      </c>
    </row>
    <row r="52">
      <c r="A52" s="26" t="inlineStr">
        <is>
          <t>PLATFORM 1 SUMMARY</t>
        </is>
      </c>
    </row>
    <row r="53">
      <c r="A53" s="3" t="inlineStr">
        <is>
          <t>Category</t>
        </is>
      </c>
      <c r="B53" s="3" t="inlineStr">
        <is>
          <t>Formula</t>
        </is>
      </c>
      <c r="C53" s="3" t="inlineStr">
        <is>
          <t>Value</t>
        </is>
      </c>
    </row>
    <row r="54">
      <c r="A54" s="4" t="inlineStr">
        <is>
          <t>Total Labor Savings</t>
        </is>
      </c>
      <c r="B54" s="14">
        <f>SUM of labor savings</f>
        <v/>
      </c>
      <c r="C54" s="5">
        <f>SUM(C48:C50)</f>
        <v/>
      </c>
    </row>
    <row r="55">
      <c r="A55" s="4" t="inlineStr">
        <is>
          <t>Total Revenue Growth</t>
        </is>
      </c>
      <c r="B55" s="14">
        <f>SUM of revenue growth</f>
        <v/>
      </c>
      <c r="C55" s="5">
        <f>SUM(D48:D50)</f>
        <v/>
      </c>
    </row>
    <row r="56">
      <c r="A56" s="8" t="inlineStr">
        <is>
          <t>PLATFORM 1 TOTAL BENEFIT</t>
        </is>
      </c>
      <c r="B56" s="14">
        <f>Labor + Revenue</f>
        <v/>
      </c>
      <c r="C56" s="9">
        <f>C54+C55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31" t="inlineStr">
        <is>
          <t>PLATFORM 2: AI ESTIMATION SUITE</t>
        </is>
      </c>
    </row>
    <row r="2">
      <c r="A2" s="18" t="inlineStr">
        <is>
          <t>Automated Proposal Creation and Specification Analysis</t>
        </is>
      </c>
    </row>
    <row r="3">
      <c r="A3" s="32" t="inlineStr">
        <is>
          <t>Annual Financial Benefit: $23,210,000</t>
        </is>
      </c>
    </row>
    <row r="5">
      <c r="A5" s="2" t="inlineStr">
        <is>
          <t>STEP 2: FRICTION POINT INVENTORY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Low-Value Repetitive Work</t>
        </is>
      </c>
      <c r="B7" s="21" t="inlineStr">
        <is>
          <t>NR Bid Sheet and proposal creation takes 2.5 hours each</t>
        </is>
      </c>
      <c r="C7" s="4" t="inlineStr">
        <is>
          <t>14,000 hours/year</t>
        </is>
      </c>
      <c r="D7" s="22" t="n">
        <v>6700000</v>
      </c>
    </row>
    <row r="8">
      <c r="A8" s="20" t="inlineStr">
        <is>
          <t>Knowledge Gaps</t>
        </is>
      </c>
      <c r="B8" s="21" t="inlineStr">
        <is>
          <t>Edge Estimate difficult to use with steep learning curve; creates estimates from hand-drawn Takeoffs</t>
        </is>
      </c>
      <c r="C8" s="4" t="inlineStr">
        <is>
          <t>Bottleneck on experts</t>
        </is>
      </c>
      <c r="D8" s="22" t="n">
        <v>5100000</v>
      </c>
    </row>
    <row r="9">
      <c r="A9" s="20" t="inlineStr">
        <is>
          <t>Rework and Errors</t>
        </is>
      </c>
      <c r="B9" s="21" t="inlineStr">
        <is>
          <t>Takeoff errors (measurements, quantities, roof depth, pipes, curbing, skylights)</t>
        </is>
      </c>
      <c r="C9" s="4" t="inlineStr">
        <is>
          <t>Project overruns</t>
        </is>
      </c>
      <c r="D9" s="22" t="n">
        <v>4400000</v>
      </c>
    </row>
    <row r="10">
      <c r="A10" s="20" t="inlineStr">
        <is>
          <t>Compliance Gaps</t>
        </is>
      </c>
      <c r="B10" s="21" t="inlineStr">
        <is>
          <t>Vendor quotes don't always match spec requirements; labor rates vary by region</t>
        </is>
      </c>
      <c r="C10" s="4" t="inlineStr">
        <is>
          <t>Material mismatches</t>
        </is>
      </c>
      <c r="D10" s="22" t="n">
        <v>3600000</v>
      </c>
    </row>
    <row r="11">
      <c r="A11" s="10" t="inlineStr">
        <is>
          <t>TOTAL FRICTION COST</t>
        </is>
      </c>
      <c r="D11" s="9">
        <f>SUM(D7:D10)</f>
        <v/>
      </c>
    </row>
    <row r="13">
      <c r="A13" s="2" t="inlineStr">
        <is>
          <t>STEP 3: USE CASE MAPPING</t>
        </is>
      </c>
    </row>
    <row r="14">
      <c r="A14" s="3" t="inlineStr">
        <is>
          <t>ID</t>
        </is>
      </c>
      <c r="B14" s="3" t="inlineStr">
        <is>
          <t>Use Case</t>
        </is>
      </c>
      <c r="C14" s="3" t="inlineStr">
        <is>
          <t>Workflow Description</t>
        </is>
      </c>
      <c r="D14" s="3" t="inlineStr">
        <is>
          <t>Primary Value</t>
        </is>
      </c>
    </row>
    <row r="15">
      <c r="A15" s="4" t="n">
        <v>5</v>
      </c>
      <c r="B15" s="8" t="inlineStr">
        <is>
          <t>Proposal Creation</t>
        </is>
      </c>
      <c r="C15" s="21" t="inlineStr">
        <is>
          <t>AI generates NR Bid Sheet and proposals from Edge data; handles regional labor rates</t>
        </is>
      </c>
      <c r="D15" s="4" t="inlineStr">
        <is>
          <t>87% time reduction</t>
        </is>
      </c>
    </row>
    <row r="16">
      <c r="A16" s="4" t="n">
        <v>1</v>
      </c>
      <c r="B16" s="8" t="inlineStr">
        <is>
          <t>Specification Reviews</t>
        </is>
      </c>
      <c r="C16" s="21" t="inlineStr">
        <is>
          <t>AI extracts requirements from specs; flags gaps and conflicts</t>
        </is>
      </c>
      <c r="D16" s="4" t="inlineStr">
        <is>
          <t>83% time reduction</t>
        </is>
      </c>
    </row>
    <row r="17">
      <c r="A17" s="4" t="n">
        <v>2</v>
      </c>
      <c r="B17" s="8" t="inlineStr">
        <is>
          <t>Edge Estimate Reviews</t>
        </is>
      </c>
      <c r="C17" s="21" t="inlineStr">
        <is>
          <t>AI validates estimates from Edge against historical data and Takeoff details</t>
        </is>
      </c>
      <c r="D17" s="4" t="inlineStr">
        <is>
          <t>Accuracy improvement</t>
        </is>
      </c>
    </row>
    <row r="18">
      <c r="A18" s="4" t="n">
        <v>11</v>
      </c>
      <c r="B18" s="8" t="inlineStr">
        <is>
          <t>Compare Quotes to Specs</t>
        </is>
      </c>
      <c r="C18" s="21" t="inlineStr">
        <is>
          <t>AI matches vendor quotes to spec requirements; flags mismatches</t>
        </is>
      </c>
      <c r="D18" s="4" t="inlineStr">
        <is>
          <t>Risk reduction</t>
        </is>
      </c>
    </row>
    <row r="19">
      <c r="A19" s="4" t="n">
        <v>4</v>
      </c>
      <c r="B19" s="8" t="inlineStr">
        <is>
          <t>Proposal Evaluation</t>
        </is>
      </c>
      <c r="C19" s="21" t="inlineStr">
        <is>
          <t>AI analyzes competitor proposals for patterns and pricing</t>
        </is>
      </c>
      <c r="D19" s="4" t="inlineStr">
        <is>
          <t>Competitive insight</t>
        </is>
      </c>
    </row>
    <row r="20">
      <c r="A20" s="4" t="n">
        <v>3</v>
      </c>
      <c r="B20" s="8" t="inlineStr">
        <is>
          <t>Technical Questions</t>
        </is>
      </c>
      <c r="C20" s="21" t="inlineStr">
        <is>
          <t>AI answers estimator questions using knowledge base (addresses Edge learning curve)</t>
        </is>
      </c>
      <c r="D20" s="4" t="inlineStr">
        <is>
          <t>Expert availability</t>
        </is>
      </c>
    </row>
    <row r="22">
      <c r="A22" s="2" t="inlineStr">
        <is>
          <t>STEP 5: KPI DEFINITIONS</t>
        </is>
      </c>
    </row>
    <row r="23">
      <c r="A23" s="3" t="inlineStr">
        <is>
          <t>Use Case</t>
        </is>
      </c>
      <c r="B23" s="3" t="inlineStr">
        <is>
          <t>KPI</t>
        </is>
      </c>
      <c r="C23" s="3" t="inlineStr">
        <is>
          <t>Baseline</t>
        </is>
      </c>
      <c r="D23" s="3" t="inlineStr">
        <is>
          <t>Target</t>
        </is>
      </c>
      <c r="E23" s="3" t="inlineStr">
        <is>
          <t>Improvement</t>
        </is>
      </c>
    </row>
    <row r="24">
      <c r="A24" s="4" t="inlineStr">
        <is>
          <t>Proposal Creation</t>
        </is>
      </c>
      <c r="B24" s="4" t="inlineStr">
        <is>
          <t>Creation time (hours)</t>
        </is>
      </c>
      <c r="C24" s="30" t="n">
        <v>2.5</v>
      </c>
      <c r="D24" s="30" t="n">
        <v>0.33</v>
      </c>
      <c r="E24" s="6">
        <f>1-D24/C24</f>
        <v/>
      </c>
    </row>
    <row r="25">
      <c r="A25" s="4" t="inlineStr">
        <is>
          <t>Spec Reviews</t>
        </is>
      </c>
      <c r="B25" s="4" t="inlineStr">
        <is>
          <t>Review time (hours)</t>
        </is>
      </c>
      <c r="C25" s="30" t="n">
        <v>3</v>
      </c>
      <c r="D25" s="30" t="n">
        <v>0.5</v>
      </c>
      <c r="E25" s="6">
        <f>1-D25/C25</f>
        <v/>
      </c>
    </row>
    <row r="26">
      <c r="A26" s="4" t="inlineStr">
        <is>
          <t>Edge Reviews</t>
        </is>
      </c>
      <c r="B26" s="4" t="inlineStr">
        <is>
          <t>Estimate error rate</t>
        </is>
      </c>
      <c r="C26" s="15" t="n">
        <v>0.08</v>
      </c>
      <c r="D26" s="15" t="n">
        <v>0.02</v>
      </c>
      <c r="E26" s="6">
        <f>1-D26/C26</f>
        <v/>
      </c>
    </row>
    <row r="27">
      <c r="A27" s="4" t="inlineStr">
        <is>
          <t>Quote Comparison</t>
        </is>
      </c>
      <c r="B27" s="4" t="inlineStr">
        <is>
          <t>Spec-quote match rate</t>
        </is>
      </c>
      <c r="C27" s="15" t="n">
        <v>0.85</v>
      </c>
      <c r="D27" s="15" t="n">
        <v>0.98</v>
      </c>
      <c r="E27" s="6">
        <f>(D27-C27)/C27</f>
        <v/>
      </c>
    </row>
    <row r="28">
      <c r="A28" s="4" t="inlineStr">
        <is>
          <t>Technical Q&amp;A</t>
        </is>
      </c>
      <c r="B28" s="4" t="inlineStr">
        <is>
          <t>Response time (hours)</t>
        </is>
      </c>
      <c r="C28" s="30" t="n">
        <v>4</v>
      </c>
      <c r="D28" s="30" t="n">
        <v>0.25</v>
      </c>
      <c r="E28" s="6">
        <f>1-D28/C28</f>
        <v/>
      </c>
    </row>
    <row r="30">
      <c r="A30" s="2" t="inlineStr">
        <is>
          <t>STEP 6: FINANCIAL IMPACT BY USE CASE</t>
        </is>
      </c>
    </row>
    <row r="31">
      <c r="A31" s="3" t="inlineStr">
        <is>
          <t>ID</t>
        </is>
      </c>
      <c r="B31" s="3" t="inlineStr">
        <is>
          <t>Use Case</t>
        </is>
      </c>
      <c r="C31" s="3" t="inlineStr">
        <is>
          <t>Labor</t>
        </is>
      </c>
      <c r="D31" s="3" t="inlineStr">
        <is>
          <t>Revenue</t>
        </is>
      </c>
      <c r="E31" s="3" t="inlineStr">
        <is>
          <t>Risk</t>
        </is>
      </c>
      <c r="F31" s="3" t="inlineStr">
        <is>
          <t>Cash</t>
        </is>
      </c>
      <c r="G31" s="3" t="inlineStr">
        <is>
          <t>Total</t>
        </is>
      </c>
    </row>
    <row r="32">
      <c r="A32" s="4" t="n">
        <v>5</v>
      </c>
      <c r="B32" s="4" t="inlineStr">
        <is>
          <t>Proposal Creation</t>
        </is>
      </c>
      <c r="C32" s="11" t="n">
        <v>1336000</v>
      </c>
      <c r="D32" s="11" t="n">
        <v>4585000</v>
      </c>
      <c r="E32" s="11" t="n">
        <v>0</v>
      </c>
      <c r="F32" s="11" t="n">
        <v>800000</v>
      </c>
      <c r="G32" s="5">
        <f>SUM(C32:F32)</f>
        <v/>
      </c>
    </row>
    <row r="33">
      <c r="A33" s="4" t="n">
        <v>1</v>
      </c>
      <c r="B33" s="4" t="inlineStr">
        <is>
          <t>Specification Reviews</t>
        </is>
      </c>
      <c r="C33" s="11" t="n">
        <v>660000</v>
      </c>
      <c r="D33" s="11" t="n">
        <v>3780000</v>
      </c>
      <c r="E33" s="11" t="n">
        <v>700000</v>
      </c>
      <c r="F33" s="11" t="n">
        <v>0</v>
      </c>
      <c r="G33" s="5">
        <f>SUM(C33:F33)</f>
        <v/>
      </c>
    </row>
    <row r="34">
      <c r="A34" s="4" t="n">
        <v>2</v>
      </c>
      <c r="B34" s="4" t="inlineStr">
        <is>
          <t>Edge Estimate Reviews</t>
        </is>
      </c>
      <c r="C34" s="11" t="n">
        <v>308000</v>
      </c>
      <c r="D34" s="11" t="n">
        <v>4095000</v>
      </c>
      <c r="E34" s="11" t="n">
        <v>0</v>
      </c>
      <c r="F34" s="11" t="n">
        <v>0</v>
      </c>
      <c r="G34" s="5">
        <f>SUM(C34:F34)</f>
        <v/>
      </c>
    </row>
    <row r="35">
      <c r="A35" s="4" t="n">
        <v>11</v>
      </c>
      <c r="B35" s="4" t="inlineStr">
        <is>
          <t>Compare Quotes/Specs</t>
        </is>
      </c>
      <c r="C35" s="11" t="n">
        <v>330000</v>
      </c>
      <c r="D35" s="11" t="n">
        <v>0</v>
      </c>
      <c r="E35" s="11" t="n">
        <v>3240000</v>
      </c>
      <c r="F35" s="11" t="n">
        <v>0</v>
      </c>
      <c r="G35" s="5">
        <f>SUM(C35:F35)</f>
        <v/>
      </c>
    </row>
    <row r="36">
      <c r="A36" s="4" t="n">
        <v>4</v>
      </c>
      <c r="B36" s="4" t="inlineStr">
        <is>
          <t>Proposal Evaluation</t>
        </is>
      </c>
      <c r="C36" s="11" t="n">
        <v>225000</v>
      </c>
      <c r="D36" s="11" t="n">
        <v>1838000</v>
      </c>
      <c r="E36" s="11" t="n">
        <v>0</v>
      </c>
      <c r="F36" s="11" t="n">
        <v>0</v>
      </c>
      <c r="G36" s="5">
        <f>SUM(C36:F36)</f>
        <v/>
      </c>
    </row>
    <row r="37">
      <c r="A37" s="4" t="n">
        <v>3</v>
      </c>
      <c r="B37" s="4" t="inlineStr">
        <is>
          <t>Technical Questions</t>
        </is>
      </c>
      <c r="C37" s="11" t="n">
        <v>858000</v>
      </c>
      <c r="D37" s="11" t="n">
        <v>455000</v>
      </c>
      <c r="E37" s="11" t="n">
        <v>0</v>
      </c>
      <c r="F37" s="11" t="n">
        <v>0</v>
      </c>
      <c r="G37" s="5">
        <f>SUM(C37:F37)</f>
        <v/>
      </c>
    </row>
    <row r="38">
      <c r="A38" s="8" t="inlineStr">
        <is>
          <t>TOTALS</t>
        </is>
      </c>
      <c r="C38" s="9">
        <f>SUM(C32:C37)</f>
        <v/>
      </c>
      <c r="D38" s="9">
        <f>SUM(D32:D37)</f>
        <v/>
      </c>
      <c r="E38" s="9">
        <f>SUM(E32:E37)</f>
        <v/>
      </c>
      <c r="F38" s="9">
        <f>SUM(F32:F37)</f>
        <v/>
      </c>
      <c r="G38" s="9">
        <f>SUM(G32:G37)</f>
        <v/>
      </c>
    </row>
    <row r="40">
      <c r="A40" s="26" t="inlineStr">
        <is>
          <t>PLATFORM 2 SUMMARY</t>
        </is>
      </c>
    </row>
    <row r="41">
      <c r="A41" s="3" t="inlineStr">
        <is>
          <t>Category</t>
        </is>
      </c>
      <c r="B41" s="3" t="inlineStr">
        <is>
          <t>Cell Reference</t>
        </is>
      </c>
      <c r="C41" s="3" t="inlineStr">
        <is>
          <t>Value</t>
        </is>
      </c>
    </row>
    <row r="42">
      <c r="A42" s="4" t="inlineStr">
        <is>
          <t>Total Labor Savings</t>
        </is>
      </c>
      <c r="B42" s="14">
        <f>C38</f>
        <v/>
      </c>
      <c r="C42" s="5">
        <f>C38</f>
        <v/>
      </c>
    </row>
    <row r="43">
      <c r="A43" s="4" t="inlineStr">
        <is>
          <t>Total Revenue Growth</t>
        </is>
      </c>
      <c r="B43" s="14">
        <f>D38</f>
        <v/>
      </c>
      <c r="C43" s="5">
        <f>D38</f>
        <v/>
      </c>
    </row>
    <row r="44">
      <c r="A44" s="4" t="inlineStr">
        <is>
          <t>Total Risk Reduction</t>
        </is>
      </c>
      <c r="B44" s="14">
        <f>E38</f>
        <v/>
      </c>
      <c r="C44" s="5">
        <f>E38</f>
        <v/>
      </c>
    </row>
    <row r="45">
      <c r="A45" s="4" t="inlineStr">
        <is>
          <t>Total Cash Flow</t>
        </is>
      </c>
      <c r="B45" s="14">
        <f>F38</f>
        <v/>
      </c>
      <c r="C45" s="5">
        <f>F38</f>
        <v/>
      </c>
    </row>
    <row r="46">
      <c r="A46" s="8" t="inlineStr">
        <is>
          <t>PLATFORM 2 TOTAL BENEFIT</t>
        </is>
      </c>
      <c r="B46" s="14">
        <f>G38</f>
        <v/>
      </c>
      <c r="C46" s="9">
        <f>G38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8" customWidth="1" min="4" max="4"/>
    <col width="15" customWidth="1" min="5" max="5"/>
    <col width="15" customWidth="1" min="6" max="6"/>
    <col width="18" customWidth="1" min="7" max="7"/>
  </cols>
  <sheetData>
    <row r="1">
      <c r="A1" s="33" t="inlineStr">
        <is>
          <t>PLATFORM 3: AI PROJECT MANAGEMENT</t>
        </is>
      </c>
    </row>
    <row r="2">
      <c r="A2" s="18" t="inlineStr">
        <is>
          <t>Seamless Project Delivery and Customer Experience</t>
        </is>
      </c>
    </row>
    <row r="3">
      <c r="A3" s="34" t="inlineStr">
        <is>
          <t>Annual Financial Benefit: $21,585,000</t>
        </is>
      </c>
    </row>
    <row r="5">
      <c r="A5" s="2" t="inlineStr">
        <is>
          <t>STEP 2: FRICTION POINT INVENTORY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Delays and Handoffs</t>
        </is>
      </c>
      <c r="B7" s="21" t="inlineStr">
        <is>
          <t>Projects delayed average 12 days; schedule creation takes 10 hours</t>
        </is>
      </c>
      <c r="C7" s="4" t="inlineStr">
        <is>
          <t>LD penalties, overhead</t>
        </is>
      </c>
      <c r="D7" s="22" t="n">
        <v>9800000</v>
      </c>
    </row>
    <row r="8">
      <c r="A8" s="20" t="inlineStr">
        <is>
          <t>Rework and Errors</t>
        </is>
      </c>
      <c r="B8" s="21" t="inlineStr">
        <is>
          <t>Actuals vs estimates not tracked until project end</t>
        </is>
      </c>
      <c r="C8" s="4" t="inlineStr">
        <is>
          <t>Surprise overruns</t>
        </is>
      </c>
      <c r="D8" s="22" t="n">
        <v>2900000</v>
      </c>
    </row>
    <row r="9">
      <c r="A9" s="20" t="inlineStr">
        <is>
          <t>Low-Value Work</t>
        </is>
      </c>
      <c r="B9" s="21" t="inlineStr">
        <is>
          <t>Daily/weekly reports for customers and field crews consume PM time</t>
        </is>
      </c>
      <c r="C9" s="4" t="inlineStr">
        <is>
          <t>Reduced PM capacity</t>
        </is>
      </c>
      <c r="D9" s="22" t="n">
        <v>1800000</v>
      </c>
    </row>
    <row r="10">
      <c r="A10" s="20" t="inlineStr">
        <is>
          <t>Knowledge Gaps</t>
        </is>
      </c>
      <c r="B10" s="21" t="inlineStr">
        <is>
          <t>Project Portfolio assembly manual; Pre-Con Packets created manually</t>
        </is>
      </c>
      <c r="C10" s="4" t="inlineStr">
        <is>
          <t>Inconsistent delivery</t>
        </is>
      </c>
      <c r="D10" s="22" t="n">
        <v>1500000</v>
      </c>
    </row>
    <row r="11">
      <c r="A11" s="20" t="inlineStr">
        <is>
          <t>Customer Experience</t>
        </is>
      </c>
      <c r="B11" s="21" t="inlineStr">
        <is>
          <t>Customers like Walmart require Service Channel geofencing compliance</t>
        </is>
      </c>
      <c r="C11" s="4" t="inlineStr">
        <is>
          <t>SLA/KPI penalties</t>
        </is>
      </c>
      <c r="D11" s="22" t="n">
        <v>800000</v>
      </c>
    </row>
    <row r="12">
      <c r="A12" s="10" t="inlineStr">
        <is>
          <t>TOTAL FRICTION COST</t>
        </is>
      </c>
      <c r="D12" s="9">
        <f>SUM(D7:D11)</f>
        <v/>
      </c>
    </row>
    <row r="14">
      <c r="A14" s="2" t="inlineStr">
        <is>
          <t>STEP 3: USE CASE MAPPING</t>
        </is>
      </c>
    </row>
    <row r="15">
      <c r="A15" s="3" t="inlineStr">
        <is>
          <t>ID</t>
        </is>
      </c>
      <c r="B15" s="3" t="inlineStr">
        <is>
          <t>Use Case</t>
        </is>
      </c>
      <c r="C15" s="3" t="inlineStr">
        <is>
          <t>Workflow Description</t>
        </is>
      </c>
      <c r="D15" s="3" t="inlineStr">
        <is>
          <t>Primary Value</t>
        </is>
      </c>
    </row>
    <row r="16">
      <c r="A16" s="4" t="n">
        <v>18</v>
      </c>
      <c r="B16" s="8" t="inlineStr">
        <is>
          <t>Schedule Generation</t>
        </is>
      </c>
      <c r="C16" s="21" t="inlineStr">
        <is>
          <t>AI optimizes schedules considering resources, weather, ADP/Service Channel</t>
        </is>
      </c>
      <c r="D16" s="4" t="inlineStr">
        <is>
          <t>75% time reduction</t>
        </is>
      </c>
    </row>
    <row r="17">
      <c r="A17" s="4" t="n">
        <v>10</v>
      </c>
      <c r="B17" s="8" t="inlineStr">
        <is>
          <t>BU Actual vs Estimate</t>
        </is>
      </c>
      <c r="C17" s="21" t="inlineStr">
        <is>
          <t>AI tracks actuals in real-time from Viewpoint; alerts on variances</t>
        </is>
      </c>
      <c r="D17" s="4" t="inlineStr">
        <is>
          <t>Early intervention</t>
        </is>
      </c>
    </row>
    <row r="18">
      <c r="A18" s="4" t="n">
        <v>15</v>
      </c>
      <c r="B18" s="8" t="inlineStr">
        <is>
          <t>RFI Response Generation</t>
        </is>
      </c>
      <c r="C18" s="21" t="inlineStr">
        <is>
          <t>AI drafts RFI responses using project context and knowledge base</t>
        </is>
      </c>
      <c r="D18" s="4" t="inlineStr">
        <is>
          <t>Faster turnaround</t>
        </is>
      </c>
    </row>
    <row r="19">
      <c r="A19" s="4" t="n">
        <v>17</v>
      </c>
      <c r="B19" s="8" t="inlineStr">
        <is>
          <t>Project Closeout Docs</t>
        </is>
      </c>
      <c r="C19" s="21" t="inlineStr">
        <is>
          <t>AI assembles closeout packages; ensures completeness</t>
        </is>
      </c>
      <c r="D19" s="4" t="inlineStr">
        <is>
          <t>Faster final payment</t>
        </is>
      </c>
    </row>
    <row r="20">
      <c r="A20" s="4" t="n">
        <v>19</v>
      </c>
      <c r="B20" s="8" t="inlineStr">
        <is>
          <t>Daily/Weekly Reports</t>
        </is>
      </c>
      <c r="C20" s="21" t="inlineStr">
        <is>
          <t>AI generates reports for customers and field crews automatically</t>
        </is>
      </c>
      <c r="D20" s="4" t="inlineStr">
        <is>
          <t>Time savings</t>
        </is>
      </c>
    </row>
    <row r="21">
      <c r="A21" s="4" t="inlineStr">
        <is>
          <t>NEW</t>
        </is>
      </c>
      <c r="B21" s="8" t="inlineStr">
        <is>
          <t>Pre-Con Packet Assembly</t>
        </is>
      </c>
      <c r="C21" s="21" t="inlineStr">
        <is>
          <t>AI creates Scope of Work (drawings, sketches, steps) and Schedule of Work</t>
        </is>
      </c>
      <c r="D21" s="4" t="inlineStr">
        <is>
          <t>Standardization</t>
        </is>
      </c>
    </row>
    <row r="22">
      <c r="A22" s="4" t="inlineStr">
        <is>
          <t>NEW</t>
        </is>
      </c>
      <c r="B22" s="8" t="inlineStr">
        <is>
          <t>Project Portfolio</t>
        </is>
      </c>
      <c r="C22" s="21" t="inlineStr">
        <is>
          <t>AI assembles complete Project Portfolio for customer and Nations Roof team</t>
        </is>
      </c>
      <c r="D22" s="4" t="inlineStr">
        <is>
          <t>Customer experience</t>
        </is>
      </c>
    </row>
    <row r="24">
      <c r="A24" s="2" t="inlineStr">
        <is>
          <t>STEP 5: KPI DEFINITIONS</t>
        </is>
      </c>
    </row>
    <row r="25">
      <c r="A25" s="3" t="inlineStr">
        <is>
          <t>Use Case</t>
        </is>
      </c>
      <c r="B25" s="3" t="inlineStr">
        <is>
          <t>KPI</t>
        </is>
      </c>
      <c r="C25" s="3" t="inlineStr">
        <is>
          <t>Baseline</t>
        </is>
      </c>
      <c r="D25" s="3" t="inlineStr">
        <is>
          <t>Target</t>
        </is>
      </c>
      <c r="E25" s="3" t="inlineStr">
        <is>
          <t>Improvement</t>
        </is>
      </c>
    </row>
    <row r="26">
      <c r="A26" s="4" t="inlineStr">
        <is>
          <t>Schedule Gen</t>
        </is>
      </c>
      <c r="B26" s="4" t="inlineStr">
        <is>
          <t>Creation time (hours)</t>
        </is>
      </c>
      <c r="C26" s="16" t="n">
        <v>10</v>
      </c>
      <c r="D26" s="30" t="n">
        <v>2.5</v>
      </c>
      <c r="E26" s="6">
        <f>1-D26/C26</f>
        <v/>
      </c>
    </row>
    <row r="27">
      <c r="A27" s="4" t="inlineStr">
        <is>
          <t>Schedule Gen</t>
        </is>
      </c>
      <c r="B27" s="4" t="inlineStr">
        <is>
          <t>Project delay (days)</t>
        </is>
      </c>
      <c r="C27" s="16" t="n">
        <v>12</v>
      </c>
      <c r="D27" s="30" t="n">
        <v>3</v>
      </c>
      <c r="E27" s="6">
        <f>1-D27/C27</f>
        <v/>
      </c>
    </row>
    <row r="28">
      <c r="A28" s="4" t="inlineStr">
        <is>
          <t>BU Analysis</t>
        </is>
      </c>
      <c r="B28" s="4" t="inlineStr">
        <is>
          <t>Variance detection (days)</t>
        </is>
      </c>
      <c r="C28" s="16" t="n">
        <v>30</v>
      </c>
      <c r="D28" s="30" t="n">
        <v>1</v>
      </c>
      <c r="E28" s="6">
        <f>1-D28/C28</f>
        <v/>
      </c>
    </row>
    <row r="29">
      <c r="A29" s="4" t="inlineStr">
        <is>
          <t>Closeout Docs</t>
        </is>
      </c>
      <c r="B29" s="4" t="inlineStr">
        <is>
          <t>Assembly time (hours)</t>
        </is>
      </c>
      <c r="C29" s="16" t="n">
        <v>2</v>
      </c>
      <c r="D29" s="30" t="n">
        <v>0.5</v>
      </c>
      <c r="E29" s="6">
        <f>1-D29/C29</f>
        <v/>
      </c>
    </row>
    <row r="30">
      <c r="A30" s="4" t="inlineStr">
        <is>
          <t>Daily/Weekly Reports</t>
        </is>
      </c>
      <c r="B30" s="4" t="inlineStr">
        <is>
          <t>Report creation (minutes)</t>
        </is>
      </c>
      <c r="C30" s="16" t="n">
        <v>45</v>
      </c>
      <c r="D30" s="30" t="n">
        <v>5</v>
      </c>
      <c r="E30" s="6">
        <f>1-D30/C30</f>
        <v/>
      </c>
    </row>
    <row r="32">
      <c r="A32" s="2" t="inlineStr">
        <is>
          <t>STEP 6: FINANCIAL IMPACT BY USE CASE</t>
        </is>
      </c>
    </row>
    <row r="33">
      <c r="A33" s="3" t="inlineStr">
        <is>
          <t>ID</t>
        </is>
      </c>
      <c r="B33" s="3" t="inlineStr">
        <is>
          <t>Use Case</t>
        </is>
      </c>
      <c r="C33" s="3" t="inlineStr">
        <is>
          <t>Labor</t>
        </is>
      </c>
      <c r="D33" s="3" t="inlineStr">
        <is>
          <t>Cost Reduction</t>
        </is>
      </c>
      <c r="E33" s="3" t="inlineStr">
        <is>
          <t>Revenue</t>
        </is>
      </c>
      <c r="F33" s="3" t="inlineStr">
        <is>
          <t>Cash</t>
        </is>
      </c>
      <c r="G33" s="3" t="inlineStr">
        <is>
          <t>Total</t>
        </is>
      </c>
    </row>
    <row r="34">
      <c r="A34" s="4" t="n">
        <v>18</v>
      </c>
      <c r="B34" s="4" t="inlineStr">
        <is>
          <t>Schedule Generation</t>
        </is>
      </c>
      <c r="C34" s="11" t="n">
        <v>94000</v>
      </c>
      <c r="D34" s="11" t="n">
        <v>9450000</v>
      </c>
      <c r="E34" s="11" t="n">
        <v>0</v>
      </c>
      <c r="F34" s="11" t="n">
        <v>0</v>
      </c>
      <c r="G34" s="5">
        <f>SUM(C34:F34)</f>
        <v/>
      </c>
    </row>
    <row r="35">
      <c r="A35" s="4" t="n">
        <v>10</v>
      </c>
      <c r="B35" s="4" t="inlineStr">
        <is>
          <t>BU Actual vs Estimate</t>
        </is>
      </c>
      <c r="C35" s="11" t="n">
        <v>107000</v>
      </c>
      <c r="D35" s="11" t="n">
        <v>2025000</v>
      </c>
      <c r="E35" s="11" t="n">
        <v>735000</v>
      </c>
      <c r="F35" s="11" t="n">
        <v>0</v>
      </c>
      <c r="G35" s="5">
        <f>SUM(C35:F35)</f>
        <v/>
      </c>
    </row>
    <row r="36">
      <c r="A36" s="4" t="n">
        <v>15</v>
      </c>
      <c r="B36" s="4" t="inlineStr">
        <is>
          <t>RFI Response Generation</t>
        </is>
      </c>
      <c r="C36" s="11" t="n">
        <v>284000</v>
      </c>
      <c r="D36" s="11" t="n">
        <v>1563000</v>
      </c>
      <c r="E36" s="11" t="n">
        <v>0</v>
      </c>
      <c r="F36" s="11" t="n">
        <v>0</v>
      </c>
      <c r="G36" s="5">
        <f>SUM(C36:F36)</f>
        <v/>
      </c>
    </row>
    <row r="37">
      <c r="A37" s="4" t="n">
        <v>17</v>
      </c>
      <c r="B37" s="4" t="inlineStr">
        <is>
          <t>Project Closeout Docs</t>
        </is>
      </c>
      <c r="C37" s="11" t="n">
        <v>202000</v>
      </c>
      <c r="D37" s="11" t="n">
        <v>150000</v>
      </c>
      <c r="E37" s="11" t="n">
        <v>0</v>
      </c>
      <c r="F37" s="11" t="n">
        <v>445000</v>
      </c>
      <c r="G37" s="5">
        <f>SUM(C37:F37)</f>
        <v/>
      </c>
    </row>
    <row r="38">
      <c r="A38" s="4" t="n">
        <v>19</v>
      </c>
      <c r="B38" s="4" t="inlineStr">
        <is>
          <t>Daily/Weekly Reports</t>
        </is>
      </c>
      <c r="C38" s="11" t="n">
        <v>580000</v>
      </c>
      <c r="D38" s="11" t="n">
        <v>0</v>
      </c>
      <c r="E38" s="11" t="n">
        <v>0</v>
      </c>
      <c r="F38" s="11" t="n">
        <v>0</v>
      </c>
      <c r="G38" s="5">
        <f>SUM(C38:F38)</f>
        <v/>
      </c>
    </row>
    <row r="39">
      <c r="A39" s="4" t="inlineStr">
        <is>
          <t>NEW</t>
        </is>
      </c>
      <c r="B39" s="4" t="inlineStr">
        <is>
          <t>Pre-Con Packets + Portfolio</t>
        </is>
      </c>
      <c r="C39" s="11" t="n">
        <v>700000</v>
      </c>
      <c r="D39" s="11" t="n">
        <v>0</v>
      </c>
      <c r="E39" s="11" t="n">
        <v>2000000</v>
      </c>
      <c r="F39" s="11" t="n">
        <v>750000</v>
      </c>
      <c r="G39" s="5">
        <f>SUM(C39:F39)</f>
        <v/>
      </c>
    </row>
    <row r="40">
      <c r="A40" s="8" t="inlineStr">
        <is>
          <t>TOTALS</t>
        </is>
      </c>
      <c r="C40" s="9">
        <f>SUM(C34:C39)</f>
        <v/>
      </c>
      <c r="D40" s="9">
        <f>SUM(D34:D39)</f>
        <v/>
      </c>
      <c r="E40" s="9">
        <f>SUM(E34:E39)</f>
        <v/>
      </c>
      <c r="F40" s="9">
        <f>SUM(F34:F39)</f>
        <v/>
      </c>
      <c r="G40" s="9">
        <f>SUM(G34:G39)</f>
        <v/>
      </c>
    </row>
    <row r="42">
      <c r="A42" s="26" t="inlineStr">
        <is>
          <t>PLATFORM 3 SUMMARY</t>
        </is>
      </c>
    </row>
    <row r="43">
      <c r="A43" s="3" t="inlineStr">
        <is>
          <t>Category</t>
        </is>
      </c>
      <c r="B43" s="3" t="inlineStr">
        <is>
          <t>Cell Reference</t>
        </is>
      </c>
      <c r="C43" s="3" t="inlineStr">
        <is>
          <t>Value</t>
        </is>
      </c>
    </row>
    <row r="44">
      <c r="A44" s="4" t="inlineStr">
        <is>
          <t>Total Labor Savings</t>
        </is>
      </c>
      <c r="B44" s="14">
        <f>C40</f>
        <v/>
      </c>
      <c r="C44" s="5">
        <f>C40</f>
        <v/>
      </c>
    </row>
    <row r="45">
      <c r="A45" s="4" t="inlineStr">
        <is>
          <t>Total Cost Reduction</t>
        </is>
      </c>
      <c r="B45" s="14">
        <f>D40</f>
        <v/>
      </c>
      <c r="C45" s="5">
        <f>D40</f>
        <v/>
      </c>
    </row>
    <row r="46">
      <c r="A46" s="4" t="inlineStr">
        <is>
          <t>Total Revenue Growth</t>
        </is>
      </c>
      <c r="B46" s="14">
        <f>E40</f>
        <v/>
      </c>
      <c r="C46" s="5">
        <f>E40</f>
        <v/>
      </c>
    </row>
    <row r="47">
      <c r="A47" s="4" t="inlineStr">
        <is>
          <t>Total Cash Flow</t>
        </is>
      </c>
      <c r="B47" s="14">
        <f>F40</f>
        <v/>
      </c>
      <c r="C47" s="5">
        <f>F40</f>
        <v/>
      </c>
    </row>
    <row r="48">
      <c r="A48" s="8" t="inlineStr">
        <is>
          <t>PLATFORM 3 TOTAL BENEFIT</t>
        </is>
      </c>
      <c r="B48" s="14">
        <f>G40</f>
        <v/>
      </c>
      <c r="C48" s="9">
        <f>G40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A1" s="35" t="inlineStr">
        <is>
          <t>PLATFORM 4: AI KNOWLEDGE MANAGEMENT</t>
        </is>
      </c>
    </row>
    <row r="2">
      <c r="A2" s="18" t="inlineStr">
        <is>
          <t>Foundation Layer with RBAC and Data Classification</t>
        </is>
      </c>
    </row>
    <row r="3">
      <c r="A3" s="36" t="inlineStr">
        <is>
          <t>Annual Financial Benefit: $7,900,000</t>
        </is>
      </c>
    </row>
    <row r="5">
      <c r="A5" s="2" t="inlineStr">
        <is>
          <t>FOUNDATION LAYER RESPONSIBILITIES</t>
        </is>
      </c>
    </row>
    <row r="6">
      <c r="A6" s="4" t="inlineStr">
        <is>
          <t>• Real-time knowledge access across Nations Roof's organization</t>
        </is>
      </c>
    </row>
    <row r="7">
      <c r="A7" s="4" t="inlineStr">
        <is>
          <t>• Role-Based Access Control (RBAC) ensuring appropriate access by role</t>
        </is>
      </c>
    </row>
    <row r="8">
      <c r="A8" s="4" t="inlineStr">
        <is>
          <t>• Data Classification to protect sensitive information and maintain compliance</t>
        </is>
      </c>
    </row>
    <row r="9">
      <c r="A9" s="4" t="inlineStr">
        <is>
          <t>• Unified search and retrieval across all project documentation</t>
        </is>
      </c>
    </row>
    <row r="11">
      <c r="A11" s="2" t="inlineStr">
        <is>
          <t>STEP 2: FRICTION POINT INVENTORY</t>
        </is>
      </c>
    </row>
    <row r="12">
      <c r="A12" s="3" t="inlineStr">
        <is>
          <t>Friction Category</t>
        </is>
      </c>
      <c r="B12" s="3" t="inlineStr">
        <is>
          <t>Specific Issue</t>
        </is>
      </c>
      <c r="C12" s="3" t="inlineStr">
        <is>
          <t>Business Impact</t>
        </is>
      </c>
      <c r="D12" s="3" t="inlineStr">
        <is>
          <t>Annual Cost</t>
        </is>
      </c>
    </row>
    <row r="13">
      <c r="A13" s="20" t="inlineStr">
        <is>
          <t>Low-Value Repetitive Work</t>
        </is>
      </c>
      <c r="B13" s="21" t="inlineStr">
        <is>
          <t>Submittal assembly: Assembly Letter, Warranty, Technical Info, Code Requirements (manual download)</t>
        </is>
      </c>
      <c r="C13" s="4" t="inlineStr">
        <is>
          <t>Hours of assembly</t>
        </is>
      </c>
      <c r="D13" s="22" t="n">
        <v>6500000</v>
      </c>
    </row>
    <row r="14">
      <c r="A14" s="20" t="inlineStr">
        <is>
          <t>Data Silos</t>
        </is>
      </c>
      <c r="B14" s="21" t="inlineStr">
        <is>
          <t>Spec requirements not linked to Edge items systematically</t>
        </is>
      </c>
      <c r="C14" s="4" t="inlineStr">
        <is>
          <t>Manual lookup errors</t>
        </is>
      </c>
      <c r="D14" s="22" t="n">
        <v>1400000</v>
      </c>
    </row>
    <row r="15">
      <c r="A15" s="10" t="inlineStr">
        <is>
          <t>TOTAL FRICTION COST</t>
        </is>
      </c>
      <c r="D15" s="9">
        <f>SUM(D13:D14)</f>
        <v/>
      </c>
    </row>
    <row r="17">
      <c r="A17" s="2" t="inlineStr">
        <is>
          <t>STEP 3: USE CASE MAPPING</t>
        </is>
      </c>
    </row>
    <row r="18">
      <c r="A18" s="3" t="inlineStr">
        <is>
          <t>ID</t>
        </is>
      </c>
      <c r="B18" s="3" t="inlineStr">
        <is>
          <t>Use Case</t>
        </is>
      </c>
      <c r="C18" s="3" t="inlineStr">
        <is>
          <t>Workflow Description</t>
        </is>
      </c>
      <c r="D18" s="3" t="inlineStr">
        <is>
          <t>Primary Value</t>
        </is>
      </c>
    </row>
    <row r="19">
      <c r="A19" s="4" t="n">
        <v>16</v>
      </c>
      <c r="B19" s="8" t="inlineStr">
        <is>
          <t>Submittal Package Assembly</t>
        </is>
      </c>
      <c r="C19" s="21" t="inlineStr">
        <is>
          <t>AI gathers required docs: Assembly Letter, Manufacturer Warranty, Technical Info, Code Requirements; automates downloads from manufacturer websites</t>
        </is>
      </c>
      <c r="D19" s="4" t="inlineStr">
        <is>
          <t>85% time reduction</t>
        </is>
      </c>
    </row>
    <row r="20">
      <c r="A20" s="4" t="n">
        <v>9</v>
      </c>
      <c r="B20" s="8" t="inlineStr">
        <is>
          <t>Spec-to-Edge Mapping</t>
        </is>
      </c>
      <c r="C20" s="21" t="inlineStr">
        <is>
          <t>AI links specification requirements to Edge line items automatically</t>
        </is>
      </c>
      <c r="D20" s="4" t="inlineStr">
        <is>
          <t>Infrastructure for accuracy</t>
        </is>
      </c>
    </row>
    <row r="22">
      <c r="A22" s="2" t="inlineStr">
        <is>
          <t>STEP 5: KPI DEFINITIONS</t>
        </is>
      </c>
    </row>
    <row r="23">
      <c r="A23" s="3" t="inlineStr">
        <is>
          <t>Use Case</t>
        </is>
      </c>
      <c r="B23" s="3" t="inlineStr">
        <is>
          <t>KPI</t>
        </is>
      </c>
      <c r="C23" s="3" t="inlineStr">
        <is>
          <t>Baseline</t>
        </is>
      </c>
      <c r="D23" s="3" t="inlineStr">
        <is>
          <t>Target</t>
        </is>
      </c>
      <c r="E23" s="3" t="inlineStr">
        <is>
          <t>Improvement</t>
        </is>
      </c>
    </row>
    <row r="24">
      <c r="A24" s="4" t="inlineStr">
        <is>
          <t>Submittal Assembly</t>
        </is>
      </c>
      <c r="B24" s="4" t="inlineStr">
        <is>
          <t>Assembly time (hours)</t>
        </is>
      </c>
      <c r="C24" s="30" t="n">
        <v>13.5</v>
      </c>
      <c r="D24" s="30" t="n">
        <v>2</v>
      </c>
      <c r="E24" s="6">
        <f>1-D24/C24</f>
        <v/>
      </c>
    </row>
    <row r="25">
      <c r="A25" s="4" t="inlineStr">
        <is>
          <t>Submittal Assembly</t>
        </is>
      </c>
      <c r="B25" s="4" t="inlineStr">
        <is>
          <t>Completeness rate</t>
        </is>
      </c>
      <c r="C25" s="15" t="n">
        <v>0.88</v>
      </c>
      <c r="D25" s="15" t="n">
        <v>0.99</v>
      </c>
      <c r="E25" s="6">
        <f>(D25-C25)/C25</f>
        <v/>
      </c>
    </row>
    <row r="26">
      <c r="A26" s="4" t="inlineStr">
        <is>
          <t>Spec-to-Edge Mapping</t>
        </is>
      </c>
      <c r="B26" s="4" t="inlineStr">
        <is>
          <t>Mapping accuracy</t>
        </is>
      </c>
      <c r="C26" s="15" t="n">
        <v>0.75</v>
      </c>
      <c r="D26" s="15" t="n">
        <v>0.95</v>
      </c>
      <c r="E26" s="6">
        <f>(D26-C26)/C26</f>
        <v/>
      </c>
    </row>
    <row r="28">
      <c r="A28" s="2" t="inlineStr">
        <is>
          <t>STEP 6: FINANCIAL IMPACT BY USE CASE</t>
        </is>
      </c>
    </row>
    <row r="29">
      <c r="A29" s="3" t="inlineStr">
        <is>
          <t>ID</t>
        </is>
      </c>
      <c r="B29" s="3" t="inlineStr">
        <is>
          <t>Use Case</t>
        </is>
      </c>
      <c r="C29" s="3" t="inlineStr">
        <is>
          <t>Labor Savings</t>
        </is>
      </c>
      <c r="D29" s="3" t="inlineStr">
        <is>
          <t>Revenue Growth</t>
        </is>
      </c>
      <c r="E29" s="3" t="inlineStr">
        <is>
          <t>Total</t>
        </is>
      </c>
    </row>
    <row r="30">
      <c r="A30" s="4" t="n">
        <v>16</v>
      </c>
      <c r="B30" s="4" t="inlineStr">
        <is>
          <t>Submittal Package Assembly</t>
        </is>
      </c>
      <c r="C30" s="11" t="n">
        <v>3250000</v>
      </c>
      <c r="D30" s="11" t="n">
        <v>3250000</v>
      </c>
      <c r="E30" s="5">
        <f>C30+D30</f>
        <v/>
      </c>
    </row>
    <row r="31">
      <c r="A31" s="4" t="n">
        <v>9</v>
      </c>
      <c r="B31" s="4" t="inlineStr">
        <is>
          <t>Spec-to-Edge Mapping</t>
        </is>
      </c>
      <c r="C31" s="11" t="n">
        <v>720000</v>
      </c>
      <c r="D31" s="11" t="n">
        <v>680000</v>
      </c>
      <c r="E31" s="5">
        <f>C31+D31</f>
        <v/>
      </c>
    </row>
    <row r="32">
      <c r="A32" s="8" t="inlineStr">
        <is>
          <t>TOTALS</t>
        </is>
      </c>
      <c r="C32" s="9">
        <f>SUM(C30:C31)</f>
        <v/>
      </c>
      <c r="D32" s="9">
        <f>SUM(D30:D31)</f>
        <v/>
      </c>
      <c r="E32" s="9">
        <f>SUM(E30:E31)</f>
        <v/>
      </c>
    </row>
    <row r="34">
      <c r="A34" s="26" t="inlineStr">
        <is>
          <t>PLATFORM 4 SUMMARY</t>
        </is>
      </c>
    </row>
    <row r="35">
      <c r="A35" s="3" t="inlineStr">
        <is>
          <t>Category</t>
        </is>
      </c>
      <c r="B35" s="3" t="inlineStr">
        <is>
          <t>Cell Reference</t>
        </is>
      </c>
      <c r="C35" s="3" t="inlineStr">
        <is>
          <t>Value</t>
        </is>
      </c>
    </row>
    <row r="36">
      <c r="A36" s="4" t="inlineStr">
        <is>
          <t>Total Labor Savings</t>
        </is>
      </c>
      <c r="B36" s="14">
        <f>C32</f>
        <v/>
      </c>
      <c r="C36" s="5">
        <f>C32</f>
        <v/>
      </c>
    </row>
    <row r="37">
      <c r="A37" s="4" t="inlineStr">
        <is>
          <t>Total Revenue Growth</t>
        </is>
      </c>
      <c r="B37" s="14">
        <f>D32</f>
        <v/>
      </c>
      <c r="C37" s="5">
        <f>D32</f>
        <v/>
      </c>
    </row>
    <row r="38">
      <c r="A38" s="8" t="inlineStr">
        <is>
          <t>PLATFORM 4 TOTAL BENEFIT</t>
        </is>
      </c>
      <c r="B38" s="14">
        <f>E32</f>
        <v/>
      </c>
      <c r="C38" s="9">
        <f>E32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2" customWidth="1" min="5" max="5"/>
    <col width="18" customWidth="1" min="6" max="6"/>
    <col width="12" customWidth="1" min="7" max="7"/>
  </cols>
  <sheetData>
    <row r="1">
      <c r="A1" s="12" t="inlineStr">
        <is>
          <t>CONSOLIDATED FINANCIAL SUMMARY</t>
        </is>
      </c>
    </row>
    <row r="3">
      <c r="A3" s="2" t="inlineStr">
        <is>
          <t>ANNUAL BENEFIT BY PLATFORM</t>
        </is>
      </c>
    </row>
    <row r="4">
      <c r="A4" s="3" t="inlineStr">
        <is>
          <t>Platform</t>
        </is>
      </c>
      <c r="B4" s="3" t="inlineStr">
        <is>
          <t>Revenue</t>
        </is>
      </c>
      <c r="C4" s="3" t="inlineStr">
        <is>
          <t>Cost Red.</t>
        </is>
      </c>
      <c r="D4" s="3" t="inlineStr">
        <is>
          <t>Risk Red.</t>
        </is>
      </c>
      <c r="E4" s="3" t="inlineStr">
        <is>
          <t>Cash</t>
        </is>
      </c>
      <c r="F4" s="3" t="inlineStr">
        <is>
          <t>Total</t>
        </is>
      </c>
      <c r="G4" s="3" t="inlineStr">
        <is>
          <t>% of Total</t>
        </is>
      </c>
    </row>
    <row r="5">
      <c r="A5" s="4" t="inlineStr">
        <is>
          <t>P0: AI Market Expansion</t>
        </is>
      </c>
      <c r="B5" s="5">
        <f>'Platform 0'!C60</f>
        <v/>
      </c>
      <c r="C5" s="5">
        <f>'Platform 0'!C61</f>
        <v/>
      </c>
      <c r="D5" s="5">
        <f>'Platform 0'!C64</f>
        <v/>
      </c>
      <c r="E5" s="5">
        <f>'Platform 0'!C62</f>
        <v/>
      </c>
      <c r="F5" s="5">
        <f>'Platform 0'!C65</f>
        <v/>
      </c>
      <c r="G5" s="6">
        <f>F5/$F$10</f>
        <v/>
      </c>
    </row>
    <row r="6">
      <c r="A6" s="4" t="inlineStr">
        <is>
          <t>P1: AI Sales Intelligence</t>
        </is>
      </c>
      <c r="B6" s="5">
        <f>'Platform 1'!C55</f>
        <v/>
      </c>
      <c r="C6" s="5">
        <f>'Platform 1'!C54</f>
        <v/>
      </c>
      <c r="D6" s="5" t="inlineStr">
        <is>
          <t>0</t>
        </is>
      </c>
      <c r="E6" s="5" t="inlineStr">
        <is>
          <t>0</t>
        </is>
      </c>
      <c r="F6" s="5">
        <f>'Platform 1'!C56</f>
        <v/>
      </c>
      <c r="G6" s="6">
        <f>F6/$F$10</f>
        <v/>
      </c>
    </row>
    <row r="7">
      <c r="A7" s="4" t="inlineStr">
        <is>
          <t>P2: AI Estimation Suite</t>
        </is>
      </c>
      <c r="B7" s="5">
        <f>'Platform 2'!D38</f>
        <v/>
      </c>
      <c r="C7" s="5">
        <f>'Platform 2'!C38</f>
        <v/>
      </c>
      <c r="D7" s="5">
        <f>'Platform 2'!E38</f>
        <v/>
      </c>
      <c r="E7" s="5">
        <f>'Platform 2'!F38</f>
        <v/>
      </c>
      <c r="F7" s="5">
        <f>'Platform 2'!G38</f>
        <v/>
      </c>
      <c r="G7" s="6">
        <f>F7/$F$10</f>
        <v/>
      </c>
    </row>
    <row r="8">
      <c r="A8" s="4" t="inlineStr">
        <is>
          <t>P3: AI Project Management</t>
        </is>
      </c>
      <c r="B8" s="5">
        <f>'Platform 3'!E40</f>
        <v/>
      </c>
      <c r="C8" s="5">
        <f>'Platform 3'!C40+'Platform 3'!D40</f>
        <v/>
      </c>
      <c r="D8" s="5" t="inlineStr">
        <is>
          <t>0</t>
        </is>
      </c>
      <c r="E8" s="5">
        <f>'Platform 3'!F40</f>
        <v/>
      </c>
      <c r="F8" s="5">
        <f>'Platform 3'!G40</f>
        <v/>
      </c>
      <c r="G8" s="6">
        <f>F8/$F$10</f>
        <v/>
      </c>
    </row>
    <row r="9">
      <c r="A9" s="4" t="inlineStr">
        <is>
          <t>P4: AI Knowledge Management</t>
        </is>
      </c>
      <c r="B9" s="5">
        <f>'Platform 4'!D32</f>
        <v/>
      </c>
      <c r="C9" s="5">
        <f>'Platform 4'!C32</f>
        <v/>
      </c>
      <c r="D9" s="5" t="inlineStr">
        <is>
          <t>0</t>
        </is>
      </c>
      <c r="E9" s="5" t="inlineStr">
        <is>
          <t>0</t>
        </is>
      </c>
      <c r="F9" s="5">
        <f>'Platform 4'!E32</f>
        <v/>
      </c>
      <c r="G9" s="6">
        <f>F9/$F$10</f>
        <v/>
      </c>
    </row>
    <row r="10">
      <c r="A10" s="8" t="inlineStr">
        <is>
          <t>GRAND TOTAL</t>
        </is>
      </c>
      <c r="B10" s="9">
        <f>SUM(B5:B9)</f>
        <v/>
      </c>
      <c r="C10" s="9">
        <f>SUM(C5:C9)</f>
        <v/>
      </c>
      <c r="D10" s="9">
        <f>SUM(D5:D9)</f>
        <v/>
      </c>
      <c r="E10" s="9">
        <f>SUM(E5:E9)</f>
        <v/>
      </c>
      <c r="F10" s="9">
        <f>SUM(F5:F9)</f>
        <v/>
      </c>
      <c r="G10" s="10" t="inlineStr">
        <is>
          <t>100%</t>
        </is>
      </c>
    </row>
    <row r="12">
      <c r="A12" s="2" t="inlineStr">
        <is>
          <t>DOCUMENT VERIFIED TOTALS (From Executive Report)</t>
        </is>
      </c>
    </row>
    <row r="13">
      <c r="A13" s="3" t="inlineStr">
        <is>
          <t>Category</t>
        </is>
      </c>
      <c r="B13" s="3" t="inlineStr">
        <is>
          <t>Value</t>
        </is>
      </c>
      <c r="C13" s="3" t="inlineStr">
        <is>
          <t>Source</t>
        </is>
      </c>
    </row>
    <row r="14">
      <c r="A14" s="4" t="inlineStr">
        <is>
          <t>Total Revenue Growth</t>
        </is>
      </c>
      <c r="B14" s="11" t="n">
        <v>76200000</v>
      </c>
      <c r="C14" s="13" t="inlineStr">
        <is>
          <t>Page 17</t>
        </is>
      </c>
    </row>
    <row r="15">
      <c r="A15" s="4" t="inlineStr">
        <is>
          <t>Total Cost Reduction</t>
        </is>
      </c>
      <c r="B15" s="11" t="n">
        <v>28600000</v>
      </c>
      <c r="C15" s="13" t="inlineStr">
        <is>
          <t>Page 17</t>
        </is>
      </c>
    </row>
    <row r="16">
      <c r="A16" s="4" t="inlineStr">
        <is>
          <t>Total Risk Reduction</t>
        </is>
      </c>
      <c r="B16" s="11" t="n">
        <v>4400000</v>
      </c>
      <c r="C16" s="13" t="inlineStr">
        <is>
          <t>Page 17</t>
        </is>
      </c>
    </row>
    <row r="17">
      <c r="A17" s="4" t="inlineStr">
        <is>
          <t>Total Cash Flow</t>
        </is>
      </c>
      <c r="B17" s="11" t="n">
        <v>2700000</v>
      </c>
      <c r="C17" s="13" t="inlineStr">
        <is>
          <t>Page 17</t>
        </is>
      </c>
    </row>
    <row r="18">
      <c r="A18" s="8" t="inlineStr">
        <is>
          <t>GRAND TOTAL ANNUAL BENEFIT</t>
        </is>
      </c>
      <c r="B18" s="37" t="n">
        <v>111900000</v>
      </c>
      <c r="C18" s="13" t="inlineStr">
        <is>
          <t>Page 1, 17</t>
        </is>
      </c>
    </row>
    <row r="20">
      <c r="A20" s="2" t="inlineStr">
        <is>
          <t>VARIANCE CHECK (Calculated vs Document)</t>
        </is>
      </c>
    </row>
    <row r="21">
      <c r="A21" s="3" t="inlineStr">
        <is>
          <t>Metric</t>
        </is>
      </c>
      <c r="B21" s="3" t="inlineStr">
        <is>
          <t>Calculated</t>
        </is>
      </c>
      <c r="C21" s="3" t="inlineStr">
        <is>
          <t>Document</t>
        </is>
      </c>
      <c r="D21" s="3" t="inlineStr">
        <is>
          <t>Variance</t>
        </is>
      </c>
    </row>
    <row r="22">
      <c r="A22" s="4" t="inlineStr">
        <is>
          <t>Grand Total</t>
        </is>
      </c>
      <c r="B22" s="5">
        <f>F10</f>
        <v/>
      </c>
      <c r="C22" s="5">
        <f>B18</f>
        <v/>
      </c>
      <c r="D22" s="5">
        <f>B22-C22</f>
        <v/>
      </c>
    </row>
    <row r="25">
      <c r="A25" s="2" t="inlineStr">
        <is>
          <t>POST-TRANSFORMATION METRICS</t>
        </is>
      </c>
    </row>
    <row r="26">
      <c r="A26" s="3" t="inlineStr">
        <is>
          <t>Metric</t>
        </is>
      </c>
      <c r="B26" s="3" t="inlineStr">
        <is>
          <t>Current State</t>
        </is>
      </c>
      <c r="C26" s="3" t="inlineStr">
        <is>
          <t>Post-Transform</t>
        </is>
      </c>
      <c r="D26" s="3" t="inlineStr">
        <is>
          <t>Change</t>
        </is>
      </c>
      <c r="E26" s="3" t="inlineStr">
        <is>
          <t>% Change</t>
        </is>
      </c>
    </row>
    <row r="27">
      <c r="A27" s="4" t="inlineStr">
        <is>
          <t>Annual Revenue</t>
        </is>
      </c>
      <c r="B27" s="5">
        <f>'Company Baseline'!B7</f>
        <v/>
      </c>
      <c r="C27" s="11" t="n">
        <v>603000000</v>
      </c>
      <c r="D27" s="5">
        <f>C27-B27</f>
        <v/>
      </c>
      <c r="E27" s="6">
        <f>D27/B27</f>
        <v/>
      </c>
    </row>
    <row r="28">
      <c r="A28" s="4" t="inlineStr">
        <is>
          <t>Win Rate</t>
        </is>
      </c>
      <c r="B28" s="6">
        <f>'Company Baseline'!B17</f>
        <v/>
      </c>
      <c r="C28" s="15" t="n">
        <v>0.33</v>
      </c>
      <c r="D28" s="6">
        <f>C28-B28</f>
        <v/>
      </c>
      <c r="E28" s="6">
        <f>D28/B28</f>
        <v/>
      </c>
    </row>
    <row r="29">
      <c r="A29" s="4" t="inlineStr">
        <is>
          <t>Net Income</t>
        </is>
      </c>
      <c r="B29" s="5">
        <f>'Company Baseline'!B11</f>
        <v/>
      </c>
      <c r="C29" s="11" t="n">
        <v>147500000</v>
      </c>
      <c r="D29" s="5">
        <f>C29-B29</f>
        <v/>
      </c>
      <c r="E29" s="6">
        <f>D29/B29</f>
        <v/>
      </c>
    </row>
    <row r="30">
      <c r="A30" s="4" t="inlineStr">
        <is>
          <t>Net Margin</t>
        </is>
      </c>
      <c r="B30" s="6">
        <f>'Company Baseline'!B9</f>
        <v/>
      </c>
      <c r="C30" s="15" t="n">
        <v>0.24</v>
      </c>
      <c r="D30" s="6">
        <f>C30-B30</f>
        <v/>
      </c>
      <c r="E30" s="6">
        <f>D30/B30</f>
        <v/>
      </c>
    </row>
    <row r="31">
      <c r="A31" s="4" t="inlineStr">
        <is>
          <t>Annual Projects</t>
        </is>
      </c>
      <c r="B31" s="7">
        <f>'Company Baseline'!B15</f>
        <v/>
      </c>
      <c r="C31" s="16" t="n">
        <v>3600</v>
      </c>
      <c r="D31" s="7">
        <f>C31-B31</f>
        <v/>
      </c>
      <c r="E31" s="6">
        <f>D31/B31</f>
        <v/>
      </c>
    </row>
    <row r="32">
      <c r="A32" s="4" t="inlineStr">
        <is>
          <t>Leads Generated</t>
        </is>
      </c>
      <c r="B32" s="7">
        <f>'Company Baseline'!B24</f>
        <v/>
      </c>
      <c r="C32" s="16" t="n">
        <v>10000</v>
      </c>
      <c r="D32" s="7">
        <f>C32-B32</f>
        <v/>
      </c>
      <c r="E32" s="6">
        <f>D32/B32</f>
        <v/>
      </c>
    </row>
    <row r="33">
      <c r="A33" s="4" t="inlineStr">
        <is>
          <t>Cost Per Lead</t>
        </is>
      </c>
      <c r="B33" s="5">
        <f>'Company Baseline'!B25</f>
        <v/>
      </c>
      <c r="C33" s="11" t="n">
        <v>120</v>
      </c>
      <c r="D33" s="5">
        <f>C33-B33</f>
        <v/>
      </c>
      <c r="E33" s="6">
        <f>D33/B33</f>
        <v/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25" customWidth="1" min="4" max="4"/>
    <col width="18" customWidth="1" min="5" max="5"/>
  </cols>
  <sheetData>
    <row r="1">
      <c r="A1" s="12" t="inlineStr">
        <is>
          <t>COMPLETE FRICTION POINT INVENTORY</t>
        </is>
      </c>
    </row>
    <row r="3">
      <c r="A3" s="13" t="inlineStr">
        <is>
          <t>All friction points across all platforms with associated costs</t>
        </is>
      </c>
    </row>
    <row r="5">
      <c r="A5" s="3" t="inlineStr">
        <is>
          <t>Platform</t>
        </is>
      </c>
      <c r="B5" s="3" t="inlineStr">
        <is>
          <t>Friction Category</t>
        </is>
      </c>
      <c r="C5" s="3" t="inlineStr">
        <is>
          <t>Specific Issue</t>
        </is>
      </c>
      <c r="D5" s="3" t="inlineStr">
        <is>
          <t>Business Impact</t>
        </is>
      </c>
      <c r="E5" s="3" t="inlineStr">
        <is>
          <t>Annual Cost</t>
        </is>
      </c>
    </row>
    <row r="6">
      <c r="A6" s="4" t="inlineStr">
        <is>
          <t>P0</t>
        </is>
      </c>
      <c r="B6" s="20" t="inlineStr">
        <is>
          <t>Speed to Lead</t>
        </is>
      </c>
      <c r="C6" s="21" t="inlineStr">
        <is>
          <t>Inbound leads sit in CRM inboxes for hours; conversion drops 80% after 5 minutes</t>
        </is>
      </c>
      <c r="D6" s="4" t="inlineStr">
        <is>
          <t>Lost conversions</t>
        </is>
      </c>
      <c r="E6" s="22" t="n">
        <v>4200000</v>
      </c>
    </row>
    <row r="7">
      <c r="A7" s="4" t="inlineStr">
        <is>
          <t>P0</t>
        </is>
      </c>
      <c r="B7" s="20" t="inlineStr">
        <is>
          <t>Manual List Building</t>
        </is>
      </c>
      <c r="C7" s="21" t="inlineStr">
        <is>
          <t>SDRs waste 40% of time scraping permit sites and hail maps instead of selling</t>
        </is>
      </c>
      <c r="D7" s="4" t="inlineStr">
        <is>
          <t>35% of sales time lost</t>
        </is>
      </c>
      <c r="E7" s="22" t="n">
        <v>2400000</v>
      </c>
    </row>
    <row r="8">
      <c r="A8" s="4" t="inlineStr">
        <is>
          <t>P0</t>
        </is>
      </c>
      <c r="B8" s="20" t="inlineStr">
        <is>
          <t>Knowledge Gaps</t>
        </is>
      </c>
      <c r="C8" s="21" t="inlineStr">
        <is>
          <t>Junior reps struggle to answer technical questions (TPO vs EPDM), losing credibility</t>
        </is>
      </c>
      <c r="D8" s="4" t="inlineStr">
        <is>
          <t>Poor qualification</t>
        </is>
      </c>
      <c r="E8" s="22" t="n">
        <v>1500000</v>
      </c>
    </row>
    <row r="9">
      <c r="A9" s="4" t="inlineStr">
        <is>
          <t>P0</t>
        </is>
      </c>
      <c r="B9" s="20" t="inlineStr">
        <is>
          <t>Data Silos</t>
        </is>
      </c>
      <c r="C9" s="21" t="inlineStr">
        <is>
          <t>Salesforce CRM disconnected from property, weather, permit data</t>
        </is>
      </c>
      <c r="D9" s="4" t="inlineStr">
        <is>
          <t>Missed timing</t>
        </is>
      </c>
      <c r="E9" s="22" t="n">
        <v>1200000</v>
      </c>
    </row>
    <row r="10">
      <c r="A10" s="4" t="inlineStr">
        <is>
          <t>P0</t>
        </is>
      </c>
      <c r="B10" s="20" t="inlineStr">
        <is>
          <t>Seasonal Peaks</t>
        </is>
      </c>
      <c r="C10" s="21" t="inlineStr">
        <is>
          <t>Storm events create surge demand; can't scale manual outreach</t>
        </is>
      </c>
      <c r="D10" s="4" t="inlineStr">
        <is>
          <t>Lost emergency revenue</t>
        </is>
      </c>
      <c r="E10" s="22" t="n">
        <v>2800000</v>
      </c>
    </row>
    <row r="11">
      <c r="A11" s="4" t="inlineStr">
        <is>
          <t>P0</t>
        </is>
      </c>
      <c r="B11" s="20" t="inlineStr">
        <is>
          <t>Customer Experience</t>
        </is>
      </c>
      <c r="C11" s="21" t="inlineStr">
        <is>
          <t>Inconsistent follow-up; leads go cold</t>
        </is>
      </c>
      <c r="D11" s="4" t="inlineStr">
        <is>
          <t>40% lead leakage</t>
        </is>
      </c>
      <c r="E11" s="22" t="n">
        <v>3800000</v>
      </c>
    </row>
    <row r="12">
      <c r="A12" s="4" t="inlineStr">
        <is>
          <t>P1</t>
        </is>
      </c>
      <c r="B12" s="20" t="inlineStr">
        <is>
          <t>Knowledge Gaps</t>
        </is>
      </c>
      <c r="C12" s="21" t="inlineStr">
        <is>
          <t>No visibility into which bids to pursue vs. walk away</t>
        </is>
      </c>
      <c r="D12" s="4" t="inlineStr">
        <is>
          <t>22% win rate (below potential)</t>
        </is>
      </c>
      <c r="E12" s="22" t="n">
        <v>14400000</v>
      </c>
    </row>
    <row r="13">
      <c r="A13" s="4" t="inlineStr">
        <is>
          <t>P1</t>
        </is>
      </c>
      <c r="B13" s="20" t="inlineStr">
        <is>
          <t>Data Silos</t>
        </is>
      </c>
      <c r="C13" s="21" t="inlineStr">
        <is>
          <t>Competitor pricing/strategies unknown</t>
        </is>
      </c>
      <c r="D13" s="4" t="inlineStr">
        <is>
          <t>Losing winnable deals</t>
        </is>
      </c>
      <c r="E13" s="22" t="n">
        <v>7200000</v>
      </c>
    </row>
    <row r="14">
      <c r="A14" s="4" t="inlineStr">
        <is>
          <t>P1</t>
        </is>
      </c>
      <c r="B14" s="20" t="inlineStr">
        <is>
          <t>Low-Value Work</t>
        </is>
      </c>
      <c r="C14" s="21" t="inlineStr">
        <is>
          <t>Manual competitor research takes 3+ hours per bid</t>
        </is>
      </c>
      <c r="D14" s="4" t="inlineStr">
        <is>
          <t>Reduced bid capacity</t>
        </is>
      </c>
      <c r="E14" s="22" t="n">
        <v>2100000</v>
      </c>
    </row>
    <row r="15">
      <c r="A15" s="4" t="inlineStr">
        <is>
          <t>P2</t>
        </is>
      </c>
      <c r="B15" s="20" t="inlineStr">
        <is>
          <t>Low-Value Repetitive Work</t>
        </is>
      </c>
      <c r="C15" s="21" t="inlineStr">
        <is>
          <t>NR Bid Sheet and proposal creation takes 2.5 hours each</t>
        </is>
      </c>
      <c r="D15" s="4" t="inlineStr">
        <is>
          <t>14,000 hours/year</t>
        </is>
      </c>
      <c r="E15" s="22" t="n">
        <v>6700000</v>
      </c>
    </row>
    <row r="16">
      <c r="A16" s="4" t="inlineStr">
        <is>
          <t>P2</t>
        </is>
      </c>
      <c r="B16" s="20" t="inlineStr">
        <is>
          <t>Knowledge Gaps</t>
        </is>
      </c>
      <c r="C16" s="21" t="inlineStr">
        <is>
          <t>Edge Estimate difficult to use with steep learning curve</t>
        </is>
      </c>
      <c r="D16" s="4" t="inlineStr">
        <is>
          <t>Bottleneck on experts</t>
        </is>
      </c>
      <c r="E16" s="22" t="n">
        <v>5100000</v>
      </c>
    </row>
    <row r="17">
      <c r="A17" s="4" t="inlineStr">
        <is>
          <t>P2</t>
        </is>
      </c>
      <c r="B17" s="20" t="inlineStr">
        <is>
          <t>Rework and Errors</t>
        </is>
      </c>
      <c r="C17" s="21" t="inlineStr">
        <is>
          <t>Takeoff errors (measurements, quantities, roof depth, pipes, curbing, skylights)</t>
        </is>
      </c>
      <c r="D17" s="4" t="inlineStr">
        <is>
          <t>Project overruns</t>
        </is>
      </c>
      <c r="E17" s="22" t="n">
        <v>4400000</v>
      </c>
    </row>
    <row r="18">
      <c r="A18" s="4" t="inlineStr">
        <is>
          <t>P2</t>
        </is>
      </c>
      <c r="B18" s="20" t="inlineStr">
        <is>
          <t>Compliance Gaps</t>
        </is>
      </c>
      <c r="C18" s="21" t="inlineStr">
        <is>
          <t>Vendor quotes don't always match spec requirements; labor rates vary by region</t>
        </is>
      </c>
      <c r="D18" s="4" t="inlineStr">
        <is>
          <t>Material mismatches</t>
        </is>
      </c>
      <c r="E18" s="22" t="n">
        <v>3600000</v>
      </c>
    </row>
    <row r="19">
      <c r="A19" s="4" t="inlineStr">
        <is>
          <t>P3</t>
        </is>
      </c>
      <c r="B19" s="20" t="inlineStr">
        <is>
          <t>Delays and Handoffs</t>
        </is>
      </c>
      <c r="C19" s="21" t="inlineStr">
        <is>
          <t>Projects delayed average 12 days; schedule creation takes 10 hours</t>
        </is>
      </c>
      <c r="D19" s="4" t="inlineStr">
        <is>
          <t>LD penalties, overhead</t>
        </is>
      </c>
      <c r="E19" s="22" t="n">
        <v>9800000</v>
      </c>
    </row>
    <row r="20">
      <c r="A20" s="4" t="inlineStr">
        <is>
          <t>P3</t>
        </is>
      </c>
      <c r="B20" s="20" t="inlineStr">
        <is>
          <t>Rework and Errors</t>
        </is>
      </c>
      <c r="C20" s="21" t="inlineStr">
        <is>
          <t>Actuals vs estimates not tracked until project end</t>
        </is>
      </c>
      <c r="D20" s="4" t="inlineStr">
        <is>
          <t>Surprise overruns</t>
        </is>
      </c>
      <c r="E20" s="22" t="n">
        <v>2900000</v>
      </c>
    </row>
    <row r="21">
      <c r="A21" s="4" t="inlineStr">
        <is>
          <t>P3</t>
        </is>
      </c>
      <c r="B21" s="20" t="inlineStr">
        <is>
          <t>Low-Value Work</t>
        </is>
      </c>
      <c r="C21" s="21" t="inlineStr">
        <is>
          <t>Daily/weekly reports for customers and field crews consume PM time</t>
        </is>
      </c>
      <c r="D21" s="4" t="inlineStr">
        <is>
          <t>Reduced PM capacity</t>
        </is>
      </c>
      <c r="E21" s="22" t="n">
        <v>1800000</v>
      </c>
    </row>
    <row r="22">
      <c r="A22" s="4" t="inlineStr">
        <is>
          <t>P3</t>
        </is>
      </c>
      <c r="B22" s="20" t="inlineStr">
        <is>
          <t>Knowledge Gaps</t>
        </is>
      </c>
      <c r="C22" s="21" t="inlineStr">
        <is>
          <t>Project Portfolio assembly manual; Pre-Con Packets created manually</t>
        </is>
      </c>
      <c r="D22" s="4" t="inlineStr">
        <is>
          <t>Inconsistent delivery</t>
        </is>
      </c>
      <c r="E22" s="22" t="n">
        <v>1500000</v>
      </c>
    </row>
    <row r="23">
      <c r="A23" s="4" t="inlineStr">
        <is>
          <t>P3</t>
        </is>
      </c>
      <c r="B23" s="20" t="inlineStr">
        <is>
          <t>Customer Experience</t>
        </is>
      </c>
      <c r="C23" s="21" t="inlineStr">
        <is>
          <t>Customers like Walmart require Service Channel geofencing compliance</t>
        </is>
      </c>
      <c r="D23" s="4" t="inlineStr">
        <is>
          <t>SLA/KPI penalties</t>
        </is>
      </c>
      <c r="E23" s="22" t="n">
        <v>800000</v>
      </c>
    </row>
    <row r="24">
      <c r="A24" s="4" t="inlineStr">
        <is>
          <t>P4</t>
        </is>
      </c>
      <c r="B24" s="20" t="inlineStr">
        <is>
          <t>Low-Value Repetitive Work</t>
        </is>
      </c>
      <c r="C24" s="21" t="inlineStr">
        <is>
          <t>Submittal assembly: Assembly Letter, Warranty, Technical Info, Code Requirements</t>
        </is>
      </c>
      <c r="D24" s="4" t="inlineStr">
        <is>
          <t>Hours of assembly</t>
        </is>
      </c>
      <c r="E24" s="22" t="n">
        <v>6500000</v>
      </c>
    </row>
    <row r="25">
      <c r="A25" s="4" t="inlineStr">
        <is>
          <t>P4</t>
        </is>
      </c>
      <c r="B25" s="20" t="inlineStr">
        <is>
          <t>Data Silos</t>
        </is>
      </c>
      <c r="C25" s="21" t="inlineStr">
        <is>
          <t>Spec requirements not linked to Edge items systematically</t>
        </is>
      </c>
      <c r="D25" s="4" t="inlineStr">
        <is>
          <t>Manual lookup errors</t>
        </is>
      </c>
      <c r="E25" s="22" t="n">
        <v>1400000</v>
      </c>
    </row>
    <row r="26">
      <c r="A26" s="10" t="inlineStr">
        <is>
          <t>TOTAL FRICTION COST</t>
        </is>
      </c>
      <c r="E26" s="9">
        <f>SUM(E6:E25)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12" t="inlineStr">
        <is>
          <t>COMPLETE KPI INVENTORY</t>
        </is>
      </c>
    </row>
    <row r="3">
      <c r="A3" s="13" t="inlineStr">
        <is>
          <t>All KPIs across all platforms with baseline, target, and improvement</t>
        </is>
      </c>
    </row>
    <row r="5">
      <c r="A5" s="3" t="inlineStr">
        <is>
          <t>Platform</t>
        </is>
      </c>
      <c r="B5" s="3" t="inlineStr">
        <is>
          <t>Use Case</t>
        </is>
      </c>
      <c r="C5" s="3" t="inlineStr">
        <is>
          <t>KPI</t>
        </is>
      </c>
      <c r="D5" s="3" t="inlineStr">
        <is>
          <t>Baseline</t>
        </is>
      </c>
      <c r="E5" s="3" t="inlineStr">
        <is>
          <t>Target</t>
        </is>
      </c>
      <c r="F5" s="3" t="inlineStr">
        <is>
          <t>Improvement</t>
        </is>
      </c>
    </row>
    <row r="6">
      <c r="A6" s="4" t="inlineStr">
        <is>
          <t>P0</t>
        </is>
      </c>
      <c r="B6" s="4" t="inlineStr">
        <is>
          <t>Lead Generation</t>
        </is>
      </c>
      <c r="C6" s="4" t="inlineStr">
        <is>
          <t>Speed to Lead</t>
        </is>
      </c>
      <c r="D6" s="4" t="inlineStr">
        <is>
          <t>4 hours</t>
        </is>
      </c>
      <c r="E6" s="4" t="inlineStr">
        <is>
          <t>&lt;2 minutes</t>
        </is>
      </c>
      <c r="F6" s="38" t="inlineStr">
        <is>
          <t>99%+</t>
        </is>
      </c>
    </row>
    <row r="7">
      <c r="A7" s="4" t="inlineStr">
        <is>
          <t>P0</t>
        </is>
      </c>
      <c r="B7" s="4" t="inlineStr">
        <is>
          <t>Lead Generation</t>
        </is>
      </c>
      <c r="C7" s="4" t="inlineStr">
        <is>
          <t>Cost Per Lead (CPL)</t>
        </is>
      </c>
      <c r="D7" s="4" t="inlineStr">
        <is>
          <t>$350</t>
        </is>
      </c>
      <c r="E7" s="4" t="inlineStr">
        <is>
          <t>$120</t>
        </is>
      </c>
      <c r="F7" s="38" t="inlineStr">
        <is>
          <t>66%</t>
        </is>
      </c>
    </row>
    <row r="8">
      <c r="A8" s="4" t="inlineStr">
        <is>
          <t>P0</t>
        </is>
      </c>
      <c r="B8" s="4" t="inlineStr">
        <is>
          <t>Lead Generation</t>
        </is>
      </c>
      <c r="C8" s="4" t="inlineStr">
        <is>
          <t>Lead Volume (Annual)</t>
        </is>
      </c>
      <c r="D8" s="4" t="inlineStr">
        <is>
          <t>2,400</t>
        </is>
      </c>
      <c r="E8" s="4" t="inlineStr">
        <is>
          <t>10,000+</t>
        </is>
      </c>
      <c r="F8" s="38" t="inlineStr">
        <is>
          <t>317%</t>
        </is>
      </c>
    </row>
    <row r="9">
      <c r="A9" s="4" t="inlineStr">
        <is>
          <t>P0</t>
        </is>
      </c>
      <c r="B9" s="4" t="inlineStr">
        <is>
          <t>Lead Generation</t>
        </is>
      </c>
      <c r="C9" s="4" t="inlineStr">
        <is>
          <t>Conversion (Lead→Meeting)</t>
        </is>
      </c>
      <c r="D9" s="4" t="inlineStr">
        <is>
          <t>5%</t>
        </is>
      </c>
      <c r="E9" s="4" t="inlineStr">
        <is>
          <t>12%</t>
        </is>
      </c>
      <c r="F9" s="38" t="inlineStr">
        <is>
          <t>140%</t>
        </is>
      </c>
    </row>
    <row r="10">
      <c r="A10" s="4" t="inlineStr">
        <is>
          <t>P0</t>
        </is>
      </c>
      <c r="B10" s="4" t="inlineStr">
        <is>
          <t>Lead Generation</t>
        </is>
      </c>
      <c r="C10" s="4" t="inlineStr">
        <is>
          <t>Maintenance Plan Attach Rate</t>
        </is>
      </c>
      <c r="D10" s="4" t="inlineStr">
        <is>
          <t>10%</t>
        </is>
      </c>
      <c r="E10" s="4" t="inlineStr">
        <is>
          <t>25%</t>
        </is>
      </c>
      <c r="F10" s="38" t="inlineStr">
        <is>
          <t>150%</t>
        </is>
      </c>
    </row>
    <row r="11">
      <c r="A11" s="4" t="inlineStr">
        <is>
          <t>P0</t>
        </is>
      </c>
      <c r="B11" s="4" t="inlineStr">
        <is>
          <t>Lead Generation</t>
        </is>
      </c>
      <c r="C11" s="4" t="inlineStr">
        <is>
          <t>Sales Cycle Reduction</t>
        </is>
      </c>
      <c r="D11" s="4" t="inlineStr">
        <is>
          <t>-</t>
        </is>
      </c>
      <c r="E11" s="4" t="inlineStr">
        <is>
          <t>-14 days</t>
        </is>
      </c>
      <c r="F11" s="38" t="inlineStr">
        <is>
          <t>-</t>
        </is>
      </c>
    </row>
    <row r="12">
      <c r="A12" s="4" t="inlineStr">
        <is>
          <t>P1</t>
        </is>
      </c>
      <c r="B12" s="4" t="inlineStr">
        <is>
          <t>Bid Assignment</t>
        </is>
      </c>
      <c r="C12" s="4" t="inlineStr">
        <is>
          <t>Win Rate</t>
        </is>
      </c>
      <c r="D12" s="4" t="inlineStr">
        <is>
          <t>22%</t>
        </is>
      </c>
      <c r="E12" s="4" t="inlineStr">
        <is>
          <t>33%</t>
        </is>
      </c>
      <c r="F12" s="38" t="inlineStr">
        <is>
          <t>50%</t>
        </is>
      </c>
    </row>
    <row r="13">
      <c r="A13" s="4" t="inlineStr">
        <is>
          <t>P1</t>
        </is>
      </c>
      <c r="B13" s="4" t="inlineStr">
        <is>
          <t>Bid Assignment</t>
        </is>
      </c>
      <c r="C13" s="4" t="inlineStr">
        <is>
          <t>Bid evaluation time (hours)</t>
        </is>
      </c>
      <c r="D13" s="4" t="inlineStr">
        <is>
          <t>3.0</t>
        </is>
      </c>
      <c r="E13" s="4" t="inlineStr">
        <is>
          <t>0.5</t>
        </is>
      </c>
      <c r="F13" s="38" t="inlineStr">
        <is>
          <t>83%</t>
        </is>
      </c>
    </row>
    <row r="14">
      <c r="A14" s="4" t="inlineStr">
        <is>
          <t>P1</t>
        </is>
      </c>
      <c r="B14" s="4" t="inlineStr">
        <is>
          <t>Competitor Analysis</t>
        </is>
      </c>
      <c r="C14" s="4" t="inlineStr">
        <is>
          <t>Competitive insights/bid</t>
        </is>
      </c>
      <c r="D14" s="4" t="inlineStr">
        <is>
          <t>2</t>
        </is>
      </c>
      <c r="E14" s="4" t="inlineStr">
        <is>
          <t>8</t>
        </is>
      </c>
      <c r="F14" s="38" t="inlineStr">
        <is>
          <t>300%</t>
        </is>
      </c>
    </row>
    <row r="15">
      <c r="A15" s="4" t="inlineStr">
        <is>
          <t>P1</t>
        </is>
      </c>
      <c r="B15" s="4" t="inlineStr">
        <is>
          <t>Competitor Scouting</t>
        </is>
      </c>
      <c r="C15" s="4" t="inlineStr">
        <is>
          <t>Market intel updates/week</t>
        </is>
      </c>
      <c r="D15" s="4" t="inlineStr">
        <is>
          <t>1</t>
        </is>
      </c>
      <c r="E15" s="4" t="inlineStr">
        <is>
          <t>Daily</t>
        </is>
      </c>
      <c r="F15" s="38" t="inlineStr">
        <is>
          <t>700%</t>
        </is>
      </c>
    </row>
    <row r="16">
      <c r="A16" s="4" t="inlineStr">
        <is>
          <t>P2</t>
        </is>
      </c>
      <c r="B16" s="4" t="inlineStr">
        <is>
          <t>Proposal Creation</t>
        </is>
      </c>
      <c r="C16" s="4" t="inlineStr">
        <is>
          <t>Creation time (hours)</t>
        </is>
      </c>
      <c r="D16" s="4" t="inlineStr">
        <is>
          <t>2.5</t>
        </is>
      </c>
      <c r="E16" s="4" t="inlineStr">
        <is>
          <t>0.33</t>
        </is>
      </c>
      <c r="F16" s="38" t="inlineStr">
        <is>
          <t>87%</t>
        </is>
      </c>
    </row>
    <row r="17">
      <c r="A17" s="4" t="inlineStr">
        <is>
          <t>P2</t>
        </is>
      </c>
      <c r="B17" s="4" t="inlineStr">
        <is>
          <t>Spec Reviews</t>
        </is>
      </c>
      <c r="C17" s="4" t="inlineStr">
        <is>
          <t>Review time (hours)</t>
        </is>
      </c>
      <c r="D17" s="4" t="inlineStr">
        <is>
          <t>3.0</t>
        </is>
      </c>
      <c r="E17" s="4" t="inlineStr">
        <is>
          <t>0.5</t>
        </is>
      </c>
      <c r="F17" s="38" t="inlineStr">
        <is>
          <t>83%</t>
        </is>
      </c>
    </row>
    <row r="18">
      <c r="A18" s="4" t="inlineStr">
        <is>
          <t>P2</t>
        </is>
      </c>
      <c r="B18" s="4" t="inlineStr">
        <is>
          <t>Edge Reviews</t>
        </is>
      </c>
      <c r="C18" s="4" t="inlineStr">
        <is>
          <t>Estimate error rate</t>
        </is>
      </c>
      <c r="D18" s="4" t="inlineStr">
        <is>
          <t>8%</t>
        </is>
      </c>
      <c r="E18" s="4" t="inlineStr">
        <is>
          <t>2%</t>
        </is>
      </c>
      <c r="F18" s="38" t="inlineStr">
        <is>
          <t>75%</t>
        </is>
      </c>
    </row>
    <row r="19">
      <c r="A19" s="4" t="inlineStr">
        <is>
          <t>P2</t>
        </is>
      </c>
      <c r="B19" s="4" t="inlineStr">
        <is>
          <t>Quote Comparison</t>
        </is>
      </c>
      <c r="C19" s="4" t="inlineStr">
        <is>
          <t>Spec-quote match rate</t>
        </is>
      </c>
      <c r="D19" s="4" t="inlineStr">
        <is>
          <t>85%</t>
        </is>
      </c>
      <c r="E19" s="4" t="inlineStr">
        <is>
          <t>98%</t>
        </is>
      </c>
      <c r="F19" s="38" t="inlineStr">
        <is>
          <t>15%</t>
        </is>
      </c>
    </row>
    <row r="20">
      <c r="A20" s="4" t="inlineStr">
        <is>
          <t>P2</t>
        </is>
      </c>
      <c r="B20" s="4" t="inlineStr">
        <is>
          <t>Technical Q&amp;A</t>
        </is>
      </c>
      <c r="C20" s="4" t="inlineStr">
        <is>
          <t>Response time (hours)</t>
        </is>
      </c>
      <c r="D20" s="4" t="inlineStr">
        <is>
          <t>4.0</t>
        </is>
      </c>
      <c r="E20" s="4" t="inlineStr">
        <is>
          <t>0.25</t>
        </is>
      </c>
      <c r="F20" s="38" t="inlineStr">
        <is>
          <t>94%</t>
        </is>
      </c>
    </row>
    <row r="21">
      <c r="A21" s="4" t="inlineStr">
        <is>
          <t>P3</t>
        </is>
      </c>
      <c r="B21" s="4" t="inlineStr">
        <is>
          <t>Schedule Gen</t>
        </is>
      </c>
      <c r="C21" s="4" t="inlineStr">
        <is>
          <t>Creation time (hours)</t>
        </is>
      </c>
      <c r="D21" s="4" t="inlineStr">
        <is>
          <t>10</t>
        </is>
      </c>
      <c r="E21" s="4" t="inlineStr">
        <is>
          <t>2.5</t>
        </is>
      </c>
      <c r="F21" s="38" t="inlineStr">
        <is>
          <t>75%</t>
        </is>
      </c>
    </row>
    <row r="22">
      <c r="A22" s="4" t="inlineStr">
        <is>
          <t>P3</t>
        </is>
      </c>
      <c r="B22" s="4" t="inlineStr">
        <is>
          <t>Schedule Gen</t>
        </is>
      </c>
      <c r="C22" s="4" t="inlineStr">
        <is>
          <t>Project delay (days)</t>
        </is>
      </c>
      <c r="D22" s="4" t="inlineStr">
        <is>
          <t>12</t>
        </is>
      </c>
      <c r="E22" s="4" t="inlineStr">
        <is>
          <t>3</t>
        </is>
      </c>
      <c r="F22" s="38" t="inlineStr">
        <is>
          <t>75%</t>
        </is>
      </c>
    </row>
    <row r="23">
      <c r="A23" s="4" t="inlineStr">
        <is>
          <t>P3</t>
        </is>
      </c>
      <c r="B23" s="4" t="inlineStr">
        <is>
          <t>BU Analysis</t>
        </is>
      </c>
      <c r="C23" s="4" t="inlineStr">
        <is>
          <t>Variance detection (days)</t>
        </is>
      </c>
      <c r="D23" s="4" t="inlineStr">
        <is>
          <t>30</t>
        </is>
      </c>
      <c r="E23" s="4" t="inlineStr">
        <is>
          <t>1</t>
        </is>
      </c>
      <c r="F23" s="38" t="inlineStr">
        <is>
          <t>97%</t>
        </is>
      </c>
    </row>
    <row r="24">
      <c r="A24" s="4" t="inlineStr">
        <is>
          <t>P3</t>
        </is>
      </c>
      <c r="B24" s="4" t="inlineStr">
        <is>
          <t>Closeout Docs</t>
        </is>
      </c>
      <c r="C24" s="4" t="inlineStr">
        <is>
          <t>Assembly time (hours)</t>
        </is>
      </c>
      <c r="D24" s="4" t="inlineStr">
        <is>
          <t>2</t>
        </is>
      </c>
      <c r="E24" s="4" t="inlineStr">
        <is>
          <t>0.5</t>
        </is>
      </c>
      <c r="F24" s="38" t="inlineStr">
        <is>
          <t>75%</t>
        </is>
      </c>
    </row>
    <row r="25">
      <c r="A25" s="4" t="inlineStr">
        <is>
          <t>P3</t>
        </is>
      </c>
      <c r="B25" s="4" t="inlineStr">
        <is>
          <t>Daily/Weekly Reports</t>
        </is>
      </c>
      <c r="C25" s="4" t="inlineStr">
        <is>
          <t>Report creation (minutes)</t>
        </is>
      </c>
      <c r="D25" s="4" t="inlineStr">
        <is>
          <t>45</t>
        </is>
      </c>
      <c r="E25" s="4" t="inlineStr">
        <is>
          <t>5</t>
        </is>
      </c>
      <c r="F25" s="38" t="inlineStr">
        <is>
          <t>89%</t>
        </is>
      </c>
    </row>
    <row r="26">
      <c r="A26" s="4" t="inlineStr">
        <is>
          <t>P4</t>
        </is>
      </c>
      <c r="B26" s="4" t="inlineStr">
        <is>
          <t>Submittal Assembly</t>
        </is>
      </c>
      <c r="C26" s="4" t="inlineStr">
        <is>
          <t>Assembly time (hours)</t>
        </is>
      </c>
      <c r="D26" s="4" t="inlineStr">
        <is>
          <t>13.5</t>
        </is>
      </c>
      <c r="E26" s="4" t="inlineStr">
        <is>
          <t>2.0</t>
        </is>
      </c>
      <c r="F26" s="38" t="inlineStr">
        <is>
          <t>85%</t>
        </is>
      </c>
    </row>
    <row r="27">
      <c r="A27" s="4" t="inlineStr">
        <is>
          <t>P4</t>
        </is>
      </c>
      <c r="B27" s="4" t="inlineStr">
        <is>
          <t>Submittal Assembly</t>
        </is>
      </c>
      <c r="C27" s="4" t="inlineStr">
        <is>
          <t>Completeness rate</t>
        </is>
      </c>
      <c r="D27" s="4" t="inlineStr">
        <is>
          <t>88%</t>
        </is>
      </c>
      <c r="E27" s="4" t="inlineStr">
        <is>
          <t>99%</t>
        </is>
      </c>
      <c r="F27" s="38" t="inlineStr">
        <is>
          <t>13%</t>
        </is>
      </c>
    </row>
    <row r="28">
      <c r="A28" s="4" t="inlineStr">
        <is>
          <t>P4</t>
        </is>
      </c>
      <c r="B28" s="4" t="inlineStr">
        <is>
          <t>Spec-to-Edge Mapping</t>
        </is>
      </c>
      <c r="C28" s="4" t="inlineStr">
        <is>
          <t>Mapping accuracy</t>
        </is>
      </c>
      <c r="D28" s="4" t="inlineStr">
        <is>
          <t>75%</t>
        </is>
      </c>
      <c r="E28" s="4" t="inlineStr">
        <is>
          <t>95%</t>
        </is>
      </c>
      <c r="F28" s="38" t="inlineStr">
        <is>
          <t>27%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2" customWidth="1" min="5" max="5"/>
    <col width="18" customWidth="1" min="6" max="6"/>
  </cols>
  <sheetData>
    <row r="1">
      <c r="A1" s="12" t="inlineStr">
        <is>
          <t>SCENARIO BUILDER - Compare Custom Scenarios vs Base Case</t>
        </is>
      </c>
    </row>
    <row r="3">
      <c r="A3" s="13" t="inlineStr">
        <is>
          <t>Instructions: Modify the PURPLE cells in your scenario to see how changes affect the total benefit. Compare against the base case.</t>
        </is>
      </c>
    </row>
    <row r="5">
      <c r="A5" s="2" t="inlineStr">
        <is>
          <t>KEY ASSUMPTIONS</t>
        </is>
      </c>
    </row>
    <row r="6">
      <c r="A6" s="3" t="inlineStr">
        <is>
          <t>Parameter</t>
        </is>
      </c>
      <c r="B6" s="3" t="inlineStr">
        <is>
          <t>Base Case</t>
        </is>
      </c>
      <c r="C6" s="3" t="inlineStr">
        <is>
          <t>Your Scenario</t>
        </is>
      </c>
      <c r="D6" s="3" t="inlineStr">
        <is>
          <t>Difference</t>
        </is>
      </c>
      <c r="E6" s="3" t="inlineStr">
        <is>
          <t>% Change</t>
        </is>
      </c>
      <c r="F6" s="3" t="inlineStr">
        <is>
          <t>Impact on Total</t>
        </is>
      </c>
    </row>
    <row r="7">
      <c r="A7" s="4" t="inlineStr">
        <is>
          <t>Annual Revenue</t>
        </is>
      </c>
      <c r="B7" s="5">
        <f>'Company Baseline'!B7</f>
        <v/>
      </c>
      <c r="C7" s="39" t="n">
        <v>527000000</v>
      </c>
      <c r="D7" s="5">
        <f>C7-B7</f>
        <v/>
      </c>
      <c r="E7" s="6">
        <f>IF(B7=0,0,D7/B7)</f>
        <v/>
      </c>
      <c r="F7" s="4" t="inlineStr">
        <is>
          <t>-</t>
        </is>
      </c>
    </row>
    <row r="8">
      <c r="A8" s="4" t="inlineStr">
        <is>
          <t>Gross Margin %</t>
        </is>
      </c>
      <c r="B8" s="6">
        <f>'Company Baseline'!B8</f>
        <v/>
      </c>
      <c r="C8" s="40" t="n">
        <v>0.35</v>
      </c>
      <c r="D8" s="6">
        <f>C8-B8</f>
        <v/>
      </c>
      <c r="E8" s="6">
        <f>IF(B8=0,0,D8/B8)</f>
        <v/>
      </c>
      <c r="F8" s="4" t="inlineStr">
        <is>
          <t>-</t>
        </is>
      </c>
    </row>
    <row r="9">
      <c r="A9" s="4" t="inlineStr">
        <is>
          <t>Net Margin %</t>
        </is>
      </c>
      <c r="B9" s="6">
        <f>'Company Baseline'!B9</f>
        <v/>
      </c>
      <c r="C9" s="40" t="n">
        <v>0.07000000000000001</v>
      </c>
      <c r="D9" s="6">
        <f>C9-B9</f>
        <v/>
      </c>
      <c r="E9" s="6">
        <f>IF(B9=0,0,D9/B9)</f>
        <v/>
      </c>
      <c r="F9" s="4" t="inlineStr">
        <is>
          <t>-</t>
        </is>
      </c>
    </row>
    <row r="10">
      <c r="A10" s="4" t="inlineStr">
        <is>
          <t>Annual Projects</t>
        </is>
      </c>
      <c r="B10" s="7">
        <f>'Company Baseline'!B15</f>
        <v/>
      </c>
      <c r="C10" s="41" t="n">
        <v>2100</v>
      </c>
      <c r="D10" s="7">
        <f>C10-B10</f>
        <v/>
      </c>
      <c r="E10" s="6">
        <f>IF(B10=0,0,D10/B10)</f>
        <v/>
      </c>
      <c r="F10" s="4" t="inlineStr">
        <is>
          <t>-</t>
        </is>
      </c>
    </row>
    <row r="11">
      <c r="A11" s="4" t="inlineStr">
        <is>
          <t>Annual Bids</t>
        </is>
      </c>
      <c r="B11" s="7">
        <f>'Company Baseline'!B16</f>
        <v/>
      </c>
      <c r="C11" s="41" t="n">
        <v>11700</v>
      </c>
      <c r="D11" s="7">
        <f>C11-B11</f>
        <v/>
      </c>
      <c r="E11" s="6">
        <f>IF(B11=0,0,D11/B11)</f>
        <v/>
      </c>
      <c r="F11" s="4" t="inlineStr">
        <is>
          <t>-</t>
        </is>
      </c>
    </row>
    <row r="12">
      <c r="A12" s="4" t="inlineStr">
        <is>
          <t>Average Project Value</t>
        </is>
      </c>
      <c r="B12" s="5">
        <f>'Company Baseline'!B18</f>
        <v/>
      </c>
      <c r="C12" s="39" t="n">
        <v>250000</v>
      </c>
      <c r="D12" s="5">
        <f>C12-B12</f>
        <v/>
      </c>
      <c r="E12" s="6">
        <f>IF(B12=0,0,D12/B12)</f>
        <v/>
      </c>
      <c r="F12" s="4" t="inlineStr">
        <is>
          <t>-</t>
        </is>
      </c>
    </row>
    <row r="13">
      <c r="A13" s="4" t="inlineStr">
        <is>
          <t>Current Cost Per Lead</t>
        </is>
      </c>
      <c r="B13" s="5">
        <f>'Company Baseline'!B25</f>
        <v/>
      </c>
      <c r="C13" s="39" t="n">
        <v>350</v>
      </c>
      <c r="D13" s="5">
        <f>C13-B13</f>
        <v/>
      </c>
      <c r="E13" s="6">
        <f>IF(B13=0,0,D13/B13)</f>
        <v/>
      </c>
      <c r="F13" s="4" t="inlineStr">
        <is>
          <t>-</t>
        </is>
      </c>
    </row>
    <row r="14">
      <c r="A14" s="4" t="inlineStr">
        <is>
          <t>P0: Annual Leads Generated</t>
        </is>
      </c>
      <c r="B14" s="7">
        <f>'Platform 0'!B33</f>
        <v/>
      </c>
      <c r="C14" s="41" t="n">
        <v>10000</v>
      </c>
      <c r="D14" s="7">
        <f>C14-B14</f>
        <v/>
      </c>
      <c r="E14" s="6">
        <f>IF(B14=0,0,D14/B14)</f>
        <v/>
      </c>
      <c r="F14" s="4" t="inlineStr">
        <is>
          <t>-</t>
        </is>
      </c>
    </row>
    <row r="15">
      <c r="A15" s="4" t="inlineStr">
        <is>
          <t>P0: Lead-to-Meeting Rate</t>
        </is>
      </c>
      <c r="B15" s="6">
        <f>'Platform 0'!B34</f>
        <v/>
      </c>
      <c r="C15" s="40" t="n">
        <v>0.12</v>
      </c>
      <c r="D15" s="6">
        <f>C15-B15</f>
        <v/>
      </c>
      <c r="E15" s="6">
        <f>IF(B15=0,0,D15/B15)</f>
        <v/>
      </c>
      <c r="F15" s="4" t="inlineStr">
        <is>
          <t>-</t>
        </is>
      </c>
    </row>
    <row r="16">
      <c r="A16" s="4" t="inlineStr">
        <is>
          <t>P0: Meeting-to-Close Rate</t>
        </is>
      </c>
      <c r="B16" s="6">
        <f>'Platform 0'!B35</f>
        <v/>
      </c>
      <c r="C16" s="40" t="n">
        <v>0.2</v>
      </c>
      <c r="D16" s="6">
        <f>C16-B16</f>
        <v/>
      </c>
      <c r="E16" s="6">
        <f>IF(B16=0,0,D16/B16)</f>
        <v/>
      </c>
      <c r="F16" s="4" t="inlineStr">
        <is>
          <t>-</t>
        </is>
      </c>
    </row>
    <row r="17">
      <c r="A17" s="4" t="inlineStr">
        <is>
          <t>P0: Target CPL</t>
        </is>
      </c>
      <c r="B17" s="5">
        <f>'Platform 0'!B36</f>
        <v/>
      </c>
      <c r="C17" s="39" t="n">
        <v>120</v>
      </c>
      <c r="D17" s="5">
        <f>C17-B17</f>
        <v/>
      </c>
      <c r="E17" s="6">
        <f>IF(B17=0,0,D17/B17)</f>
        <v/>
      </c>
      <c r="F17" s="4" t="inlineStr">
        <is>
          <t>-</t>
        </is>
      </c>
    </row>
    <row r="18">
      <c r="A18" s="4" t="inlineStr">
        <is>
          <t>P0: Maintenance Attach Rate</t>
        </is>
      </c>
      <c r="B18" s="6">
        <f>'Platform 0'!B37</f>
        <v/>
      </c>
      <c r="C18" s="40" t="n">
        <v>0.25</v>
      </c>
      <c r="D18" s="6">
        <f>C18-B18</f>
        <v/>
      </c>
      <c r="E18" s="6">
        <f>IF(B18=0,0,D18/B18)</f>
        <v/>
      </c>
      <c r="F18" s="4" t="inlineStr">
        <is>
          <t>-</t>
        </is>
      </c>
    </row>
    <row r="19">
      <c r="A19" s="4" t="inlineStr">
        <is>
          <t>P1: Win Rate Improvement (pts)</t>
        </is>
      </c>
      <c r="B19" s="7">
        <f>'Platform 1'!B20</f>
        <v/>
      </c>
      <c r="C19" s="41" t="n">
        <v>11</v>
      </c>
      <c r="D19" s="7">
        <f>C19-B19</f>
        <v/>
      </c>
      <c r="E19" s="6">
        <f>IF(B19=0,0,D19/B19)</f>
        <v/>
      </c>
      <c r="F19" s="4" t="inlineStr">
        <is>
          <t>-</t>
        </is>
      </c>
    </row>
    <row r="20">
      <c r="A20" s="4" t="inlineStr">
        <is>
          <t>P2: Proposal Time Reduction</t>
        </is>
      </c>
      <c r="B20" s="6">
        <f>1-'Platform 2'!D24/'Platform 2'!C24</f>
        <v/>
      </c>
      <c r="C20" s="40" t="n">
        <v>0.87</v>
      </c>
      <c r="D20" s="6">
        <f>C20-B20</f>
        <v/>
      </c>
      <c r="E20" s="6">
        <f>IF(B20=0,0,D20/B20)</f>
        <v/>
      </c>
      <c r="F20" s="4" t="inlineStr">
        <is>
          <t>-</t>
        </is>
      </c>
    </row>
    <row r="21">
      <c r="A21" s="4" t="inlineStr">
        <is>
          <t>P3: Schedule Time Reduction</t>
        </is>
      </c>
      <c r="B21" s="6">
        <f>1-'Platform 3'!D26/'Platform 3'!C26</f>
        <v/>
      </c>
      <c r="C21" s="40" t="n">
        <v>0.75</v>
      </c>
      <c r="D21" s="6">
        <f>C21-B21</f>
        <v/>
      </c>
      <c r="E21" s="6">
        <f>IF(B21=0,0,D21/B21)</f>
        <v/>
      </c>
      <c r="F21" s="4" t="inlineStr">
        <is>
          <t>-</t>
        </is>
      </c>
    </row>
    <row r="22">
      <c r="A22" s="4" t="inlineStr">
        <is>
          <t>P4: Submittal Time Reduction</t>
        </is>
      </c>
      <c r="B22" s="6">
        <f>1-'Platform 4'!D24/'Platform 4'!C24</f>
        <v/>
      </c>
      <c r="C22" s="40" t="n">
        <v>0.85</v>
      </c>
      <c r="D22" s="6">
        <f>C22-B22</f>
        <v/>
      </c>
      <c r="E22" s="6">
        <f>IF(B22=0,0,D22/B22)</f>
        <v/>
      </c>
      <c r="F22" s="4" t="inlineStr">
        <is>
          <t>-</t>
        </is>
      </c>
    </row>
    <row r="25">
      <c r="A25" s="2" t="inlineStr">
        <is>
          <t>SCENARIO RESULTS COMPARISON</t>
        </is>
      </c>
    </row>
    <row r="26">
      <c r="A26" s="3" t="inlineStr">
        <is>
          <t>Platform</t>
        </is>
      </c>
      <c r="B26" s="3" t="inlineStr">
        <is>
          <t>Base Case Benefit</t>
        </is>
      </c>
      <c r="C26" s="3" t="inlineStr">
        <is>
          <t>Scenario Benefit</t>
        </is>
      </c>
      <c r="D26" s="3" t="inlineStr">
        <is>
          <t>Difference</t>
        </is>
      </c>
      <c r="E26" s="3" t="inlineStr">
        <is>
          <t>% Change</t>
        </is>
      </c>
    </row>
    <row r="27">
      <c r="A27" s="4" t="inlineStr">
        <is>
          <t>P0: AI Market Expansion</t>
        </is>
      </c>
      <c r="B27" s="5">
        <f>'Platform 0'!C65</f>
        <v/>
      </c>
      <c r="C27" s="39">
        <f>(C8*C9*C10*C6*C7)+(C7-C11)*C8+C8*C9*C10*C12*25000+500000</f>
        <v/>
      </c>
      <c r="D27" s="5">
        <f>C27-B27</f>
        <v/>
      </c>
      <c r="E27" s="6">
        <f>IF(B27=0,0,D27/B27)</f>
        <v/>
      </c>
    </row>
    <row r="28">
      <c r="A28" s="4" t="inlineStr">
        <is>
          <t>P1: AI Sales Intelligence</t>
        </is>
      </c>
      <c r="B28" s="5">
        <f>'Platform 1'!C56</f>
        <v/>
      </c>
      <c r="C28" s="39">
        <f>(C5*C13/100)*C6*C8*0.35+'Platform 1'!C54</f>
        <v/>
      </c>
      <c r="D28" s="5">
        <f>C28-B28</f>
        <v/>
      </c>
      <c r="E28" s="6">
        <f>IF(B28=0,0,D28/B28)</f>
        <v/>
      </c>
    </row>
    <row r="29">
      <c r="A29" s="4" t="inlineStr">
        <is>
          <t>P2: AI Estimation Suite</t>
        </is>
      </c>
      <c r="B29" s="5">
        <f>'Platform 2'!G38</f>
        <v/>
      </c>
      <c r="C29" s="39">
        <f>'Platform 2'!G38</f>
        <v/>
      </c>
      <c r="D29" s="5">
        <f>C29-B29</f>
        <v/>
      </c>
      <c r="E29" s="6">
        <f>IF(B29=0,0,D29/B29)</f>
        <v/>
      </c>
    </row>
    <row r="30">
      <c r="A30" s="4" t="inlineStr">
        <is>
          <t>P3: AI Project Management</t>
        </is>
      </c>
      <c r="B30" s="5">
        <f>'Platform 3'!G40</f>
        <v/>
      </c>
      <c r="C30" s="39">
        <f>'Platform 3'!G40</f>
        <v/>
      </c>
      <c r="D30" s="5">
        <f>C30-B30</f>
        <v/>
      </c>
      <c r="E30" s="6">
        <f>IF(B30=0,0,D30/B30)</f>
        <v/>
      </c>
    </row>
    <row r="31">
      <c r="A31" s="4" t="inlineStr">
        <is>
          <t>P4: AI Knowledge Management</t>
        </is>
      </c>
      <c r="B31" s="5">
        <f>'Platform 4'!E32</f>
        <v/>
      </c>
      <c r="C31" s="39">
        <f>'Platform 4'!E32</f>
        <v/>
      </c>
      <c r="D31" s="5">
        <f>C31-B31</f>
        <v/>
      </c>
      <c r="E31" s="6">
        <f>IF(B31=0,0,D31/B31)</f>
        <v/>
      </c>
    </row>
    <row r="32">
      <c r="A32" s="8" t="inlineStr">
        <is>
          <t>GRAND TOTAL</t>
        </is>
      </c>
      <c r="B32" s="9">
        <f>SUM(B27:B31)</f>
        <v/>
      </c>
      <c r="C32" s="9">
        <f>SUM(C27:C31)</f>
        <v/>
      </c>
      <c r="D32" s="9">
        <f>SUM(D27:D31)</f>
        <v/>
      </c>
      <c r="E32" s="42">
        <f>IF(B32=0,0,D32/B32)</f>
        <v/>
      </c>
    </row>
    <row r="35">
      <c r="A35" s="2" t="inlineStr">
        <is>
          <t>KEY SCENARIO INSIGHTS</t>
        </is>
      </c>
    </row>
    <row r="36">
      <c r="A36" s="4" t="inlineStr">
        <is>
          <t>Total Benefit Change</t>
        </is>
      </c>
      <c r="B36" s="9">
        <f>D32</f>
        <v/>
      </c>
    </row>
    <row r="37">
      <c r="A37" s="4" t="inlineStr">
        <is>
          <t>Percentage Change</t>
        </is>
      </c>
      <c r="B37" s="42">
        <f>E32</f>
        <v/>
      </c>
    </row>
    <row r="38">
      <c r="A38" s="4" t="inlineStr">
        <is>
          <t>Scenario vs Base</t>
        </is>
      </c>
      <c r="B38" s="43">
        <f>IF(D32&gt;0,"BETTER",IF(D32&lt;0,"WORSE","SAME"))</f>
        <v/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22" customWidth="1" min="4" max="4"/>
    <col width="18" customWidth="1" min="5" max="5"/>
  </cols>
  <sheetData>
    <row r="1">
      <c r="A1" s="12" t="inlineStr">
        <is>
          <t>SENSITIVITY ANALYSIS - Impact of Key Variable Changes</t>
        </is>
      </c>
    </row>
    <row r="3">
      <c r="A3" s="13" t="inlineStr">
        <is>
          <t>This analysis shows how changes in key variables affect the total annual benefit.</t>
        </is>
      </c>
    </row>
    <row r="5">
      <c r="A5" s="2" t="inlineStr">
        <is>
          <t>WIN RATE SENSITIVITY (Platform 1 Driver)</t>
        </is>
      </c>
    </row>
    <row r="6">
      <c r="A6" s="3" t="inlineStr">
        <is>
          <t>Win Rate</t>
        </is>
      </c>
      <c r="B6" s="3" t="inlineStr">
        <is>
          <t>Additional Wins</t>
        </is>
      </c>
      <c r="C6" s="3" t="inlineStr">
        <is>
          <t>Revenue Impact</t>
        </is>
      </c>
      <c r="D6" s="3" t="inlineStr">
        <is>
          <t>Total P1 Benefit</t>
        </is>
      </c>
      <c r="E6" s="3" t="inlineStr">
        <is>
          <t>Change from Base</t>
        </is>
      </c>
    </row>
    <row r="7">
      <c r="A7" s="15" t="n">
        <v>0.25</v>
      </c>
      <c r="B7" s="7">
        <f>11700*(A7-0.22)</f>
        <v/>
      </c>
      <c r="C7" s="5">
        <f>B7*250000*0.35</f>
        <v/>
      </c>
      <c r="D7" s="5">
        <f>C7+852000</f>
        <v/>
      </c>
      <c r="E7" s="5">
        <f>D7-$D$10</f>
        <v/>
      </c>
    </row>
    <row r="8">
      <c r="A8" s="15" t="n">
        <v>0.28</v>
      </c>
      <c r="B8" s="7">
        <f>11700*(A8-0.22)</f>
        <v/>
      </c>
      <c r="C8" s="5">
        <f>B8*250000*0.35</f>
        <v/>
      </c>
      <c r="D8" s="5">
        <f>C8+852000</f>
        <v/>
      </c>
      <c r="E8" s="5">
        <f>D8-$D$10</f>
        <v/>
      </c>
    </row>
    <row r="9">
      <c r="A9" s="15" t="n">
        <v>0.3</v>
      </c>
      <c r="B9" s="7">
        <f>11700*(A9-0.22)</f>
        <v/>
      </c>
      <c r="C9" s="5">
        <f>B9*250000*0.35</f>
        <v/>
      </c>
      <c r="D9" s="5">
        <f>C9+852000</f>
        <v/>
      </c>
      <c r="E9" s="5">
        <f>D9-$D$10</f>
        <v/>
      </c>
    </row>
    <row r="10">
      <c r="A10" s="15" t="n">
        <v>0.33</v>
      </c>
      <c r="B10" s="7">
        <f>11700*(A10-0.22)</f>
        <v/>
      </c>
      <c r="C10" s="5">
        <f>B10*250000*0.35</f>
        <v/>
      </c>
      <c r="D10" s="5">
        <f>C10+852000</f>
        <v/>
      </c>
      <c r="E10" s="5">
        <f>D10-$D$10</f>
        <v/>
      </c>
    </row>
    <row r="11">
      <c r="A11" s="15" t="n">
        <v>0.35</v>
      </c>
      <c r="B11" s="7">
        <f>11700*(A11-0.22)</f>
        <v/>
      </c>
      <c r="C11" s="5">
        <f>B11*250000*0.35</f>
        <v/>
      </c>
      <c r="D11" s="5">
        <f>C11+852000</f>
        <v/>
      </c>
      <c r="E11" s="5">
        <f>D11-$D$10</f>
        <v/>
      </c>
    </row>
    <row r="12">
      <c r="A12" s="15" t="n">
        <v>0.38</v>
      </c>
      <c r="B12" s="7">
        <f>11700*(A12-0.22)</f>
        <v/>
      </c>
      <c r="C12" s="5">
        <f>B12*250000*0.35</f>
        <v/>
      </c>
      <c r="D12" s="5">
        <f>C12+852000</f>
        <v/>
      </c>
      <c r="E12" s="5">
        <f>D12-$D$10</f>
        <v/>
      </c>
    </row>
    <row r="13">
      <c r="A13" s="15" t="n">
        <v>0.4</v>
      </c>
      <c r="B13" s="7">
        <f>11700*(A13-0.22)</f>
        <v/>
      </c>
      <c r="C13" s="5">
        <f>B13*250000*0.35</f>
        <v/>
      </c>
      <c r="D13" s="5">
        <f>C13+852000</f>
        <v/>
      </c>
      <c r="E13" s="5">
        <f>D13-$D$10</f>
        <v/>
      </c>
    </row>
    <row r="15">
      <c r="A15" s="2" t="inlineStr">
        <is>
          <t>LEAD VOLUME SENSITIVITY (Platform 0 Driver)</t>
        </is>
      </c>
    </row>
    <row r="16">
      <c r="A16" s="3" t="inlineStr">
        <is>
          <t>Annual Leads</t>
        </is>
      </c>
      <c r="B16" s="3" t="inlineStr">
        <is>
          <t>Qualified Meetings</t>
        </is>
      </c>
      <c r="C16" s="3" t="inlineStr">
        <is>
          <t>New Projects</t>
        </is>
      </c>
      <c r="D16" s="3" t="inlineStr">
        <is>
          <t>Net Revenue</t>
        </is>
      </c>
      <c r="E16" s="3" t="inlineStr">
        <is>
          <t>Change from Base</t>
        </is>
      </c>
    </row>
    <row r="17">
      <c r="A17" s="16" t="n">
        <v>5000</v>
      </c>
      <c r="B17" s="7">
        <f>A17*0.12</f>
        <v/>
      </c>
      <c r="C17" s="7">
        <f>B17*0.20</f>
        <v/>
      </c>
      <c r="D17" s="5">
        <f>C17*250000*0.07</f>
        <v/>
      </c>
      <c r="E17" s="5">
        <f>D17-$D$19</f>
        <v/>
      </c>
    </row>
    <row r="18">
      <c r="A18" s="16" t="n">
        <v>7500</v>
      </c>
      <c r="B18" s="7">
        <f>A18*0.12</f>
        <v/>
      </c>
      <c r="C18" s="7">
        <f>B18*0.20</f>
        <v/>
      </c>
      <c r="D18" s="5">
        <f>C18*250000*0.07</f>
        <v/>
      </c>
      <c r="E18" s="5">
        <f>D18-$D$19</f>
        <v/>
      </c>
    </row>
    <row r="19">
      <c r="A19" s="16" t="n">
        <v>10000</v>
      </c>
      <c r="B19" s="7">
        <f>A19*0.12</f>
        <v/>
      </c>
      <c r="C19" s="7">
        <f>B19*0.20</f>
        <v/>
      </c>
      <c r="D19" s="5">
        <f>C19*250000*0.07</f>
        <v/>
      </c>
      <c r="E19" s="5">
        <f>D19-$D$19</f>
        <v/>
      </c>
    </row>
    <row r="20">
      <c r="A20" s="16" t="n">
        <v>12500</v>
      </c>
      <c r="B20" s="7">
        <f>A20*0.12</f>
        <v/>
      </c>
      <c r="C20" s="7">
        <f>B20*0.20</f>
        <v/>
      </c>
      <c r="D20" s="5">
        <f>C20*250000*0.07</f>
        <v/>
      </c>
      <c r="E20" s="5">
        <f>D20-$D$19</f>
        <v/>
      </c>
    </row>
    <row r="21">
      <c r="A21" s="16" t="n">
        <v>15000</v>
      </c>
      <c r="B21" s="7">
        <f>A21*0.12</f>
        <v/>
      </c>
      <c r="C21" s="7">
        <f>B21*0.20</f>
        <v/>
      </c>
      <c r="D21" s="5">
        <f>C21*250000*0.07</f>
        <v/>
      </c>
      <c r="E21" s="5">
        <f>D21-$D$19</f>
        <v/>
      </c>
    </row>
    <row r="22">
      <c r="A22" s="16" t="n">
        <v>20000</v>
      </c>
      <c r="B22" s="7">
        <f>A22*0.12</f>
        <v/>
      </c>
      <c r="C22" s="7">
        <f>B22*0.20</f>
        <v/>
      </c>
      <c r="D22" s="5">
        <f>C22*250000*0.07</f>
        <v/>
      </c>
      <c r="E22" s="5">
        <f>D22-$D$19</f>
        <v/>
      </c>
    </row>
    <row r="23">
      <c r="A23" s="16" t="n">
        <v>25000</v>
      </c>
      <c r="B23" s="7">
        <f>A23*0.12</f>
        <v/>
      </c>
      <c r="C23" s="7">
        <f>B23*0.20</f>
        <v/>
      </c>
      <c r="D23" s="5">
        <f>C23*250000*0.07</f>
        <v/>
      </c>
      <c r="E23" s="5">
        <f>D23-$D$19</f>
        <v/>
      </c>
    </row>
    <row r="25">
      <c r="A25" s="2" t="inlineStr">
        <is>
          <t>COST PER LEAD SENSITIVITY (Platform 0 Cost Savings)</t>
        </is>
      </c>
    </row>
    <row r="26">
      <c r="A26" s="3" t="inlineStr">
        <is>
          <t>Target CPL</t>
        </is>
      </c>
      <c r="B26" s="3" t="inlineStr">
        <is>
          <t>CPL Savings</t>
        </is>
      </c>
      <c r="C26" s="3" t="inlineStr">
        <is>
          <t>Annual Savings (10K leads)</t>
        </is>
      </c>
      <c r="D26" s="3" t="inlineStr">
        <is>
          <t>Total P0 Benefit</t>
        </is>
      </c>
      <c r="E26" s="3" t="inlineStr">
        <is>
          <t>Change from Base</t>
        </is>
      </c>
    </row>
    <row r="27">
      <c r="A27" s="11" t="n">
        <v>80</v>
      </c>
      <c r="B27" s="5">
        <f>350-A27</f>
        <v/>
      </c>
      <c r="C27" s="5">
        <f>B27*10000</f>
        <v/>
      </c>
      <c r="D27" s="5">
        <f>4200000+C27+700000+1500000+500000</f>
        <v/>
      </c>
      <c r="E27" s="5">
        <f>D27-$D$29</f>
        <v/>
      </c>
    </row>
    <row r="28">
      <c r="A28" s="11" t="n">
        <v>100</v>
      </c>
      <c r="B28" s="5">
        <f>350-A28</f>
        <v/>
      </c>
      <c r="C28" s="5">
        <f>B28*10000</f>
        <v/>
      </c>
      <c r="D28" s="5">
        <f>4200000+C28+700000+1500000+500000</f>
        <v/>
      </c>
      <c r="E28" s="5">
        <f>D28-$D$29</f>
        <v/>
      </c>
    </row>
    <row r="29">
      <c r="A29" s="11" t="n">
        <v>120</v>
      </c>
      <c r="B29" s="5">
        <f>350-A29</f>
        <v/>
      </c>
      <c r="C29" s="5">
        <f>B29*10000</f>
        <v/>
      </c>
      <c r="D29" s="5">
        <f>4200000+C29+700000+1500000+500000</f>
        <v/>
      </c>
      <c r="E29" s="5">
        <f>D29-$D$29</f>
        <v/>
      </c>
    </row>
    <row r="30">
      <c r="A30" s="11" t="n">
        <v>140</v>
      </c>
      <c r="B30" s="5">
        <f>350-A30</f>
        <v/>
      </c>
      <c r="C30" s="5">
        <f>B30*10000</f>
        <v/>
      </c>
      <c r="D30" s="5">
        <f>4200000+C30+700000+1500000+500000</f>
        <v/>
      </c>
      <c r="E30" s="5">
        <f>D30-$D$29</f>
        <v/>
      </c>
    </row>
    <row r="31">
      <c r="A31" s="11" t="n">
        <v>160</v>
      </c>
      <c r="B31" s="5">
        <f>350-A31</f>
        <v/>
      </c>
      <c r="C31" s="5">
        <f>B31*10000</f>
        <v/>
      </c>
      <c r="D31" s="5">
        <f>4200000+C31+700000+1500000+500000</f>
        <v/>
      </c>
      <c r="E31" s="5">
        <f>D31-$D$29</f>
        <v/>
      </c>
    </row>
    <row r="32">
      <c r="A32" s="11" t="n">
        <v>180</v>
      </c>
      <c r="B32" s="5">
        <f>350-A32</f>
        <v/>
      </c>
      <c r="C32" s="5">
        <f>B32*10000</f>
        <v/>
      </c>
      <c r="D32" s="5">
        <f>4200000+C32+700000+1500000+500000</f>
        <v/>
      </c>
      <c r="E32" s="5">
        <f>D32-$D$29</f>
        <v/>
      </c>
    </row>
    <row r="33">
      <c r="A33" s="11" t="n">
        <v>200</v>
      </c>
      <c r="B33" s="5">
        <f>350-A33</f>
        <v/>
      </c>
      <c r="C33" s="5">
        <f>B33*10000</f>
        <v/>
      </c>
      <c r="D33" s="5">
        <f>4200000+C33+700000+1500000+500000</f>
        <v/>
      </c>
      <c r="E33" s="5">
        <f>D33-$D$29</f>
        <v/>
      </c>
    </row>
    <row r="35">
      <c r="A35" s="2" t="inlineStr">
        <is>
          <t>AVERAGE PROJECT VALUE SENSITIVITY (All Platforms)</t>
        </is>
      </c>
    </row>
    <row r="36">
      <c r="A36" s="3" t="inlineStr">
        <is>
          <t>Avg Project Value</t>
        </is>
      </c>
      <c r="B36" s="3" t="inlineStr">
        <is>
          <t>P0 Revenue Impact</t>
        </is>
      </c>
      <c r="C36" s="3" t="inlineStr">
        <is>
          <t>P1 Revenue Impact</t>
        </is>
      </c>
      <c r="D36" s="3" t="inlineStr">
        <is>
          <t>Total Impact</t>
        </is>
      </c>
      <c r="E36" s="3" t="inlineStr">
        <is>
          <t>Change from Base</t>
        </is>
      </c>
    </row>
    <row r="37">
      <c r="A37" s="11" t="n">
        <v>200000</v>
      </c>
      <c r="B37" s="5">
        <f>240*A37*0.07</f>
        <v/>
      </c>
      <c r="C37" s="5">
        <f>1287*A37*0.35</f>
        <v/>
      </c>
      <c r="D37" s="5">
        <f>B37+C37</f>
        <v/>
      </c>
      <c r="E37" s="5">
        <f>D37-$D$39</f>
        <v/>
      </c>
    </row>
    <row r="38">
      <c r="A38" s="11" t="n">
        <v>225000</v>
      </c>
      <c r="B38" s="5">
        <f>240*A38*0.07</f>
        <v/>
      </c>
      <c r="C38" s="5">
        <f>1287*A38*0.35</f>
        <v/>
      </c>
      <c r="D38" s="5">
        <f>B38+C38</f>
        <v/>
      </c>
      <c r="E38" s="5">
        <f>D38-$D$39</f>
        <v/>
      </c>
    </row>
    <row r="39">
      <c r="A39" s="11" t="n">
        <v>250000</v>
      </c>
      <c r="B39" s="5">
        <f>240*A39*0.07</f>
        <v/>
      </c>
      <c r="C39" s="5">
        <f>1287*A39*0.35</f>
        <v/>
      </c>
      <c r="D39" s="5">
        <f>B39+C39</f>
        <v/>
      </c>
      <c r="E39" s="5">
        <f>D39-$D$39</f>
        <v/>
      </c>
    </row>
    <row r="40">
      <c r="A40" s="11" t="n">
        <v>275000</v>
      </c>
      <c r="B40" s="5">
        <f>240*A40*0.07</f>
        <v/>
      </c>
      <c r="C40" s="5">
        <f>1287*A40*0.35</f>
        <v/>
      </c>
      <c r="D40" s="5">
        <f>B40+C40</f>
        <v/>
      </c>
      <c r="E40" s="5">
        <f>D40-$D$39</f>
        <v/>
      </c>
    </row>
    <row r="41">
      <c r="A41" s="11" t="n">
        <v>300000</v>
      </c>
      <c r="B41" s="5">
        <f>240*A41*0.07</f>
        <v/>
      </c>
      <c r="C41" s="5">
        <f>1287*A41*0.35</f>
        <v/>
      </c>
      <c r="D41" s="5">
        <f>B41+C41</f>
        <v/>
      </c>
      <c r="E41" s="5">
        <f>D41-$D$39</f>
        <v/>
      </c>
    </row>
    <row r="42">
      <c r="A42" s="11" t="n">
        <v>350000</v>
      </c>
      <c r="B42" s="5">
        <f>240*A42*0.07</f>
        <v/>
      </c>
      <c r="C42" s="5">
        <f>1287*A42*0.35</f>
        <v/>
      </c>
      <c r="D42" s="5">
        <f>B42+C42</f>
        <v/>
      </c>
      <c r="E42" s="5">
        <f>D42-$D$39</f>
        <v/>
      </c>
    </row>
    <row r="43">
      <c r="A43" s="11" t="n">
        <v>400000</v>
      </c>
      <c r="B43" s="5">
        <f>240*A43*0.07</f>
        <v/>
      </c>
      <c r="C43" s="5">
        <f>1287*A43*0.35</f>
        <v/>
      </c>
      <c r="D43" s="5">
        <f>B43+C43</f>
        <v/>
      </c>
      <c r="E43" s="5">
        <f>D43-$D$39</f>
        <v/>
      </c>
    </row>
    <row r="45">
      <c r="A45" s="2" t="inlineStr">
        <is>
          <t>SENSITIVITY SUMMARY - Impact of ±10% Change</t>
        </is>
      </c>
    </row>
    <row r="46">
      <c r="A46" s="3" t="inlineStr">
        <is>
          <t>Variable</t>
        </is>
      </c>
      <c r="B46" s="3" t="inlineStr">
        <is>
          <t>Base Value</t>
        </is>
      </c>
      <c r="C46" s="3" t="inlineStr">
        <is>
          <t>-10% Impact</t>
        </is>
      </c>
      <c r="D46" s="3" t="inlineStr">
        <is>
          <t>+10% Impact</t>
        </is>
      </c>
      <c r="E46" s="3" t="inlineStr">
        <is>
          <t>Sensitivity Rating</t>
        </is>
      </c>
    </row>
    <row r="47">
      <c r="A47" s="4" t="inlineStr">
        <is>
          <t>Win Rate</t>
        </is>
      </c>
      <c r="B47" s="4" t="inlineStr">
        <is>
          <t>33%</t>
        </is>
      </c>
      <c r="C47" s="44" t="inlineStr">
        <is>
          <t>-$2.4M</t>
        </is>
      </c>
      <c r="D47" s="45" t="inlineStr">
        <is>
          <t>+$2.4M</t>
        </is>
      </c>
      <c r="E47" s="46" t="inlineStr">
        <is>
          <t>HIGH</t>
        </is>
      </c>
    </row>
    <row r="48">
      <c r="A48" s="4" t="inlineStr">
        <is>
          <t>Lead Volume</t>
        </is>
      </c>
      <c r="B48" s="4" t="inlineStr">
        <is>
          <t>10,000</t>
        </is>
      </c>
      <c r="C48" s="44" t="inlineStr">
        <is>
          <t>-$420K</t>
        </is>
      </c>
      <c r="D48" s="45" t="inlineStr">
        <is>
          <t>+$420K</t>
        </is>
      </c>
      <c r="E48" s="47" t="inlineStr">
        <is>
          <t>MEDIUM</t>
        </is>
      </c>
    </row>
    <row r="49">
      <c r="A49" s="4" t="inlineStr">
        <is>
          <t>Cost Per Lead</t>
        </is>
      </c>
      <c r="B49" s="4" t="inlineStr">
        <is>
          <t>$120</t>
        </is>
      </c>
      <c r="C49" s="44" t="inlineStr">
        <is>
          <t>-$230K</t>
        </is>
      </c>
      <c r="D49" s="45" t="inlineStr">
        <is>
          <t>+$230K</t>
        </is>
      </c>
      <c r="E49" s="48" t="inlineStr">
        <is>
          <t>LOW</t>
        </is>
      </c>
    </row>
    <row r="50">
      <c r="A50" s="4" t="inlineStr">
        <is>
          <t>Avg Project Value</t>
        </is>
      </c>
      <c r="B50" s="4" t="inlineStr">
        <is>
          <t>$250K</t>
        </is>
      </c>
      <c r="C50" s="44" t="inlineStr">
        <is>
          <t>-$5.8M</t>
        </is>
      </c>
      <c r="D50" s="45" t="inlineStr">
        <is>
          <t>+$5.8M</t>
        </is>
      </c>
      <c r="E50" s="49" t="inlineStr">
        <is>
          <t>VERY HIGH</t>
        </is>
      </c>
    </row>
    <row r="51">
      <c r="A51" s="4" t="inlineStr">
        <is>
          <t>Net Margin</t>
        </is>
      </c>
      <c r="B51" s="4" t="inlineStr">
        <is>
          <t>7%</t>
        </is>
      </c>
      <c r="C51" s="44" t="inlineStr">
        <is>
          <t>-$600K</t>
        </is>
      </c>
      <c r="D51" s="45" t="inlineStr">
        <is>
          <t>+$600K</t>
        </is>
      </c>
      <c r="E51" s="47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</cols>
  <sheetData>
    <row r="1">
      <c r="A1" s="12" t="inlineStr">
        <is>
          <t>EXECUTIVE CHARTS DASHBOARD</t>
        </is>
      </c>
    </row>
    <row r="3">
      <c r="A3" s="2" t="inlineStr">
        <is>
          <t>PLATFORM BENEFIT DATA</t>
        </is>
      </c>
    </row>
    <row r="4">
      <c r="A4" s="3" t="inlineStr">
        <is>
          <t>Platform</t>
        </is>
      </c>
      <c r="B4" s="3" t="inlineStr">
        <is>
          <t>Benefit ($M)</t>
        </is>
      </c>
      <c r="C4" s="3" t="inlineStr">
        <is>
          <t>% of Total</t>
        </is>
      </c>
    </row>
    <row r="5">
      <c r="A5" s="4" t="inlineStr">
        <is>
          <t>P0: Market Expansion</t>
        </is>
      </c>
      <c r="B5" s="50" t="n">
        <v>35</v>
      </c>
      <c r="C5" s="24" t="n">
        <v>0.31</v>
      </c>
    </row>
    <row r="6">
      <c r="A6" s="4" t="inlineStr">
        <is>
          <t>P1: Sales Intelligence</t>
        </is>
      </c>
      <c r="B6" s="50" t="n">
        <v>24.2</v>
      </c>
      <c r="C6" s="24" t="n">
        <v>0.22</v>
      </c>
    </row>
    <row r="7">
      <c r="A7" s="4" t="inlineStr">
        <is>
          <t>P2: Estimation Suite</t>
        </is>
      </c>
      <c r="B7" s="50" t="n">
        <v>23.2</v>
      </c>
      <c r="C7" s="24" t="n">
        <v>0.21</v>
      </c>
    </row>
    <row r="8">
      <c r="A8" s="4" t="inlineStr">
        <is>
          <t>P3: Project Mgmt</t>
        </is>
      </c>
      <c r="B8" s="50" t="n">
        <v>21.6</v>
      </c>
      <c r="C8" s="24" t="n">
        <v>0.19</v>
      </c>
    </row>
    <row r="9">
      <c r="A9" s="4" t="inlineStr">
        <is>
          <t>P4: Knowledge Mgmt</t>
        </is>
      </c>
      <c r="B9" s="50" t="n">
        <v>7.9</v>
      </c>
      <c r="C9" s="24" t="n">
        <v>0.07000000000000001</v>
      </c>
    </row>
    <row r="10">
      <c r="A10" s="8" t="inlineStr">
        <is>
          <t>TOTAL</t>
        </is>
      </c>
      <c r="B10" s="51">
        <f>SUM(B5:B9)</f>
        <v/>
      </c>
    </row>
    <row r="13">
      <c r="A13" s="2" t="inlineStr">
        <is>
          <t>BUSINESS DRIVER DATA</t>
        </is>
      </c>
    </row>
    <row r="14">
      <c r="A14" s="3" t="inlineStr">
        <is>
          <t>Driver</t>
        </is>
      </c>
      <c r="B14" s="3" t="inlineStr">
        <is>
          <t>Benefit ($M)</t>
        </is>
      </c>
      <c r="C14" s="3" t="inlineStr">
        <is>
          <t>% of Total</t>
        </is>
      </c>
    </row>
    <row r="15">
      <c r="A15" s="4" t="inlineStr">
        <is>
          <t>Revenue Growth</t>
        </is>
      </c>
      <c r="B15" s="50" t="n">
        <v>76.2</v>
      </c>
      <c r="C15" s="24" t="n">
        <v>0.68</v>
      </c>
    </row>
    <row r="16">
      <c r="A16" s="4" t="inlineStr">
        <is>
          <t>Cost Reduction</t>
        </is>
      </c>
      <c r="B16" s="50" t="n">
        <v>28.6</v>
      </c>
      <c r="C16" s="24" t="n">
        <v>0.26</v>
      </c>
    </row>
    <row r="17">
      <c r="A17" s="4" t="inlineStr">
        <is>
          <t>Risk Mitigation</t>
        </is>
      </c>
      <c r="B17" s="50" t="n">
        <v>4.4</v>
      </c>
      <c r="C17" s="24" t="n">
        <v>0.04</v>
      </c>
    </row>
    <row r="18">
      <c r="A18" s="4" t="inlineStr">
        <is>
          <t>Cash Flow</t>
        </is>
      </c>
      <c r="B18" s="50" t="n">
        <v>2.7</v>
      </c>
      <c r="C18" s="24" t="n">
        <v>0.02</v>
      </c>
    </row>
    <row r="21">
      <c r="A21" s="2" t="inlineStr">
        <is>
          <t>TRANSFORMATION METRICS</t>
        </is>
      </c>
    </row>
    <row r="22">
      <c r="A22" s="3" t="inlineStr">
        <is>
          <t>Metric</t>
        </is>
      </c>
      <c r="B22" s="3" t="inlineStr">
        <is>
          <t>Current</t>
        </is>
      </c>
      <c r="C22" s="3" t="inlineStr">
        <is>
          <t>Post-Transform</t>
        </is>
      </c>
      <c r="D22" s="3" t="inlineStr">
        <is>
          <t>Improvement</t>
        </is>
      </c>
    </row>
    <row r="23">
      <c r="A23" s="4" t="inlineStr">
        <is>
          <t>Revenue ($M)</t>
        </is>
      </c>
      <c r="B23" s="50" t="n">
        <v>527</v>
      </c>
      <c r="C23" s="52" t="n">
        <v>603</v>
      </c>
      <c r="D23" s="52">
        <f>C23-B23</f>
        <v/>
      </c>
    </row>
    <row r="24">
      <c r="A24" s="4" t="inlineStr">
        <is>
          <t>Win Rate</t>
        </is>
      </c>
      <c r="B24" s="24" t="n">
        <v>0.22</v>
      </c>
      <c r="C24" s="6" t="n">
        <v>0.33</v>
      </c>
      <c r="D24" s="6">
        <f>C24-B24</f>
        <v/>
      </c>
    </row>
    <row r="25">
      <c r="A25" s="4" t="inlineStr">
        <is>
          <t>Net Income ($M)</t>
        </is>
      </c>
      <c r="B25" s="50" t="n">
        <v>35.6</v>
      </c>
      <c r="C25" s="52" t="n">
        <v>147.5</v>
      </c>
      <c r="D25" s="52">
        <f>C25-B25</f>
        <v/>
      </c>
    </row>
    <row r="26">
      <c r="A26" s="4" t="inlineStr">
        <is>
          <t>Projects/Year</t>
        </is>
      </c>
      <c r="B26" s="23" t="n">
        <v>2100</v>
      </c>
      <c r="C26" s="7" t="n">
        <v>3600</v>
      </c>
      <c r="D26" s="7">
        <f>C26-B26</f>
        <v/>
      </c>
    </row>
    <row r="27">
      <c r="A27" s="4" t="inlineStr">
        <is>
          <t>Leads/Year</t>
        </is>
      </c>
      <c r="B27" s="23" t="n">
        <v>2400</v>
      </c>
      <c r="C27" s="7" t="n">
        <v>10000</v>
      </c>
      <c r="D27" s="7">
        <f>C27-B27</f>
        <v/>
      </c>
    </row>
    <row r="28">
      <c r="A28" s="4" t="inlineStr">
        <is>
          <t>Cost Per Lead</t>
        </is>
      </c>
      <c r="B28" s="23" t="n">
        <v>350</v>
      </c>
      <c r="C28" s="7" t="n">
        <v>120</v>
      </c>
      <c r="D28" s="7">
        <f>C28-B28</f>
        <v/>
      </c>
    </row>
    <row r="31">
      <c r="A31" s="2" t="inlineStr">
        <is>
          <t>ROI SUMMARY</t>
        </is>
      </c>
    </row>
    <row r="32">
      <c r="A32" s="3" t="inlineStr">
        <is>
          <t>Metric</t>
        </is>
      </c>
      <c r="B32" s="3" t="inlineStr">
        <is>
          <t>Value</t>
        </is>
      </c>
    </row>
    <row r="33">
      <c r="A33" s="4" t="inlineStr">
        <is>
          <t>Total Annual Benefit</t>
        </is>
      </c>
      <c r="B33" s="43" t="inlineStr">
        <is>
          <t>$111.9M</t>
        </is>
      </c>
    </row>
    <row r="34">
      <c r="A34" s="4" t="inlineStr">
        <is>
          <t>Estimated Investment</t>
        </is>
      </c>
      <c r="B34" s="43" t="inlineStr">
        <is>
          <t>$5.0M</t>
        </is>
      </c>
    </row>
    <row r="35">
      <c r="A35" s="4" t="inlineStr">
        <is>
          <t>Net Annual Return</t>
        </is>
      </c>
      <c r="B35" s="43" t="inlineStr">
        <is>
          <t>$106.9M</t>
        </is>
      </c>
    </row>
    <row r="36">
      <c r="A36" s="4" t="inlineStr">
        <is>
          <t>ROI</t>
        </is>
      </c>
      <c r="B36" s="43" t="inlineStr">
        <is>
          <t>2,138%</t>
        </is>
      </c>
    </row>
    <row r="37">
      <c r="A37" s="4" t="inlineStr">
        <is>
          <t>Payback Period</t>
        </is>
      </c>
      <c r="B37" s="43" t="inlineStr">
        <is>
          <t>&lt;4 months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2026-01-20T14:28:02Z</dcterms:created>
  <dcterms:modified xmlns:dcterms="http://purl.org/dc/terms/" xmlns:xsi="http://www.w3.org/2001/XMLSchema-instance" xsi:type="dcterms:W3CDTF">2026-01-20T14:35:30Z</dcterms:modified>
</cp:coreProperties>
</file>