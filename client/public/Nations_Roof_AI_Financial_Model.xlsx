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latform Overview" sheetId="2" state="visible" r:id="rId2"/>
    <sheet xmlns:r="http://schemas.openxmlformats.org/officeDocument/2006/relationships" name="P0 - Lead Generation" sheetId="3" state="visible" r:id="rId3"/>
    <sheet xmlns:r="http://schemas.openxmlformats.org/officeDocument/2006/relationships" name="P1 - Estimating" sheetId="4" state="visible" r:id="rId4"/>
    <sheet xmlns:r="http://schemas.openxmlformats.org/officeDocument/2006/relationships" name="P2 - Sales Assistant" sheetId="5" state="visible" r:id="rId5"/>
    <sheet xmlns:r="http://schemas.openxmlformats.org/officeDocument/2006/relationships" name="P3 - Operations" sheetId="6" state="visible" r:id="rId6"/>
    <sheet xmlns:r="http://schemas.openxmlformats.org/officeDocument/2006/relationships" name="P4 - Analytics" sheetId="7" state="visible" r:id="rId7"/>
    <sheet xmlns:r="http://schemas.openxmlformats.org/officeDocument/2006/relationships" name="KPI Dashboard" sheetId="8" state="visible" r:id="rId8"/>
    <sheet xmlns:r="http://schemas.openxmlformats.org/officeDocument/2006/relationships" name="ROI Analysis" sheetId="9" state="visible" r:id="rId9"/>
    <sheet xmlns:r="http://schemas.openxmlformats.org/officeDocument/2006/relationships" name="Assumptions" sheetId="10" state="visible" r:id="rId10"/>
    <sheet xmlns:r="http://schemas.openxmlformats.org/officeDocument/2006/relationships" name="Sensitivity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&quot;M&quot;"/>
    <numFmt numFmtId="165" formatCode="0.0%"/>
    <numFmt numFmtId="166" formatCode="#,##0&quot;%&quot;"/>
    <numFmt numFmtId="167" formatCode="0.0&quot; mo&quot;"/>
    <numFmt numFmtId="168" formatCode="0.0000"/>
  </numFmts>
  <fonts count="11">
    <font>
      <name val="Calibri"/>
      <family val="2"/>
      <color theme="1"/>
      <sz val="11"/>
      <scheme val="minor"/>
    </font>
    <font>
      <name val="Calibri"/>
      <b val="1"/>
      <color rgb="00002B5C"/>
      <sz val="20"/>
    </font>
    <font>
      <name val="Calibri"/>
      <i val="1"/>
      <color rgb="00666666"/>
      <sz val="11"/>
    </font>
    <font>
      <name val="Calibri"/>
      <b val="1"/>
      <color rgb="00002B5C"/>
      <sz val="14"/>
    </font>
    <font>
      <name val="Calibri"/>
      <b val="1"/>
      <sz val="11"/>
    </font>
    <font>
      <name val="Calibri"/>
      <b val="1"/>
      <color rgb="00002B5C"/>
      <sz val="11"/>
    </font>
    <font>
      <name val="Calibri"/>
      <b val="1"/>
      <color rgb="00FFFFFF"/>
      <sz val="12"/>
    </font>
    <font>
      <b val="1"/>
    </font>
    <font>
      <b val="1"/>
      <color rgb="0022C55E"/>
    </font>
    <font>
      <name val="Calibri"/>
      <sz val="11"/>
    </font>
    <font>
      <name val="Calibri"/>
      <b val="1"/>
      <color rgb="00002B5C"/>
      <sz val="16"/>
    </font>
  </fonts>
  <fills count="5">
    <fill>
      <patternFill/>
    </fill>
    <fill>
      <patternFill patternType="gray125"/>
    </fill>
    <fill>
      <patternFill patternType="solid">
        <fgColor rgb="00002B5C"/>
        <bgColor rgb="00002B5C"/>
      </patternFill>
    </fill>
    <fill>
      <patternFill patternType="solid">
        <fgColor rgb="00F3F4F6"/>
        <bgColor rgb="00F3F4F6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7" fillId="3" borderId="1" pivotButton="0" quotePrefix="0" xfId="0"/>
    <xf numFmtId="164" fontId="7" fillId="3" borderId="1" pivotButton="0" quotePrefix="0" xfId="0"/>
    <xf numFmtId="165" fontId="0" fillId="3" borderId="1" pivotButton="0" quotePrefix="0" xfId="0"/>
    <xf numFmtId="0" fontId="0" fillId="3" borderId="1" pivotButton="0" quotePrefix="0" xfId="0"/>
    <xf numFmtId="0" fontId="8" fillId="4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8" fillId="4" borderId="1" pivotButton="0" quotePrefix="0" xfId="0"/>
    <xf numFmtId="168" fontId="0" fillId="0" borderId="1" pivotButton="0" quotePrefix="0" xfId="0"/>
    <xf numFmtId="166" fontId="7" fillId="3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B5C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NATIONS ROOF AI TRANSFORMATION - EXECUTIVE SUMMARY</t>
        </is>
      </c>
    </row>
    <row r="2">
      <c r="A2" s="2" t="inlineStr">
        <is>
          <t>Prepared by BlueAlly | Confidential</t>
        </is>
      </c>
    </row>
    <row r="4">
      <c r="A4" s="3" t="inlineStr">
        <is>
          <t>KEY INVESTMENT METRICS</t>
        </is>
      </c>
    </row>
    <row r="6">
      <c r="A6" s="4" t="inlineStr">
        <is>
          <t>Total Annual Benefit</t>
        </is>
      </c>
      <c r="B6" s="5" t="inlineStr">
        <is>
          <t>$111.9M</t>
        </is>
      </c>
    </row>
    <row r="7">
      <c r="A7" s="4" t="inlineStr">
        <is>
          <t>One-Time Investment</t>
        </is>
      </c>
      <c r="B7" s="5" t="inlineStr">
        <is>
          <t>$5.2M</t>
        </is>
      </c>
    </row>
    <row r="8">
      <c r="A8" s="4" t="inlineStr">
        <is>
          <t>Year 1 ROI</t>
        </is>
      </c>
      <c r="B8" s="5" t="inlineStr">
        <is>
          <t>2052%</t>
        </is>
      </c>
    </row>
    <row r="9">
      <c r="A9" s="4" t="inlineStr">
        <is>
          <t>Payback Period</t>
        </is>
      </c>
      <c r="B9" s="5" t="inlineStr">
        <is>
          <t>3.8 months</t>
        </is>
      </c>
    </row>
    <row r="10">
      <c r="A10" s="4" t="inlineStr">
        <is>
          <t>5-Year NPV (10% WACC)</t>
        </is>
      </c>
      <c r="B10" s="5" t="inlineStr">
        <is>
          <t>$419.8M</t>
        </is>
      </c>
    </row>
    <row r="11">
      <c r="A11" s="4" t="inlineStr">
        <is>
          <t>Internal Rate of Return</t>
        </is>
      </c>
      <c r="B11" s="5" t="inlineStr">
        <is>
          <t>2156%</t>
        </is>
      </c>
    </row>
    <row r="14">
      <c r="A14" s="3" t="inlineStr">
        <is>
          <t>PLATFORM FINANCIAL SUMMARY</t>
        </is>
      </c>
    </row>
    <row r="16">
      <c r="A16" s="6" t="inlineStr">
        <is>
          <t>Platform</t>
        </is>
      </c>
      <c r="B16" s="6" t="inlineStr">
        <is>
          <t>Annual Benefit</t>
        </is>
      </c>
      <c r="C16" s="6" t="inlineStr">
        <is>
          <t>% of Total</t>
        </is>
      </c>
      <c r="D16" s="6" t="inlineStr">
        <is>
          <t>Investment</t>
        </is>
      </c>
      <c r="E16" s="6" t="inlineStr">
        <is>
          <t>ROI</t>
        </is>
      </c>
      <c r="F16" s="6" t="inlineStr">
        <is>
          <t>Payback</t>
        </is>
      </c>
    </row>
    <row r="17">
      <c r="A17" s="7" t="inlineStr">
        <is>
          <t>P0: Autonomous Lead Gen</t>
        </is>
      </c>
      <c r="B17" s="8" t="n">
        <v>35</v>
      </c>
      <c r="C17" s="9" t="n">
        <v>0.313</v>
      </c>
      <c r="D17" s="8" t="n">
        <v>1.8</v>
      </c>
      <c r="E17" s="10" t="n">
        <v>1844</v>
      </c>
      <c r="F17" s="11" t="n">
        <v>0.6</v>
      </c>
    </row>
    <row r="18">
      <c r="A18" s="7" t="inlineStr">
        <is>
          <t>P1: AI Estimating</t>
        </is>
      </c>
      <c r="B18" s="8" t="n">
        <v>32.5</v>
      </c>
      <c r="C18" s="9" t="n">
        <v>0.29</v>
      </c>
      <c r="D18" s="8" t="n">
        <v>1.2</v>
      </c>
      <c r="E18" s="10" t="n">
        <v>2608</v>
      </c>
      <c r="F18" s="11" t="n">
        <v>0.4</v>
      </c>
    </row>
    <row r="19">
      <c r="A19" s="7" t="inlineStr">
        <is>
          <t>P2: Intelligent Sales</t>
        </is>
      </c>
      <c r="B19" s="8" t="n">
        <v>8.4</v>
      </c>
      <c r="C19" s="9" t="n">
        <v>0.075</v>
      </c>
      <c r="D19" s="8" t="n">
        <v>0.8</v>
      </c>
      <c r="E19" s="10" t="n">
        <v>950</v>
      </c>
      <c r="F19" s="11" t="n">
        <v>1.1</v>
      </c>
    </row>
    <row r="20">
      <c r="A20" s="7" t="inlineStr">
        <is>
          <t>P3: Smart Operations</t>
        </is>
      </c>
      <c r="B20" s="8" t="n">
        <v>34</v>
      </c>
      <c r="C20" s="9" t="n">
        <v>0.304</v>
      </c>
      <c r="D20" s="8" t="n">
        <v>1</v>
      </c>
      <c r="E20" s="10" t="n">
        <v>3300</v>
      </c>
      <c r="F20" s="11" t="n">
        <v>0.4</v>
      </c>
    </row>
    <row r="21">
      <c r="A21" s="7" t="inlineStr">
        <is>
          <t>P4: Predictive Analytics</t>
        </is>
      </c>
      <c r="B21" s="8" t="n">
        <v>2</v>
      </c>
      <c r="C21" s="9" t="n">
        <v>0.018</v>
      </c>
      <c r="D21" s="8" t="n">
        <v>0.4</v>
      </c>
      <c r="E21" s="10" t="n">
        <v>400</v>
      </c>
      <c r="F21" s="11" t="n">
        <v>2.4</v>
      </c>
    </row>
    <row r="22">
      <c r="A22" s="12" t="inlineStr">
        <is>
          <t>TOTAL</t>
        </is>
      </c>
      <c r="B22" s="13">
        <f>SUM(B17:B21)</f>
        <v/>
      </c>
      <c r="C22" s="14">
        <f>SUM(C17:C21)</f>
        <v/>
      </c>
      <c r="D22" s="13">
        <f>SUM(D17:D21)</f>
        <v/>
      </c>
      <c r="E22" s="15" t="n"/>
      <c r="F22" s="15" t="n"/>
    </row>
    <row r="25">
      <c r="A25" s="3" t="inlineStr">
        <is>
          <t>INVESTMENT DECISION CRITERIA</t>
        </is>
      </c>
    </row>
    <row r="27">
      <c r="A27" s="4" t="inlineStr">
        <is>
          <t>NPV &gt; 0</t>
        </is>
      </c>
      <c r="B27" s="16" t="inlineStr">
        <is>
          <t>PASS</t>
        </is>
      </c>
      <c r="C27" t="inlineStr">
        <is>
          <t>$419.8M NPV significantly exceeds zero</t>
        </is>
      </c>
    </row>
    <row r="28">
      <c r="A28" s="4" t="inlineStr">
        <is>
          <t>IRR &gt; WACC</t>
        </is>
      </c>
      <c r="B28" s="16" t="inlineStr">
        <is>
          <t>PASS</t>
        </is>
      </c>
      <c r="C28" t="inlineStr">
        <is>
          <t>2,156% IRR &gt;&gt; 10% WACC</t>
        </is>
      </c>
    </row>
    <row r="29">
      <c r="A29" s="4" t="inlineStr">
        <is>
          <t>Payback &lt; 12mo</t>
        </is>
      </c>
      <c r="B29" s="16" t="inlineStr">
        <is>
          <t>PASS</t>
        </is>
      </c>
      <c r="C29" t="inlineStr">
        <is>
          <t>3.8 month payback &lt;&lt; 12 month threshold</t>
        </is>
      </c>
    </row>
    <row r="30">
      <c r="A30" s="4" t="inlineStr">
        <is>
          <t>PI &gt; 1.0</t>
        </is>
      </c>
      <c r="B30" s="16" t="inlineStr">
        <is>
          <t>PASS</t>
        </is>
      </c>
      <c r="C30" t="inlineStr">
        <is>
          <t>Profitability Index = 21.5x</t>
        </is>
      </c>
    </row>
    <row r="33">
      <c r="A33" s="3" t="inlineStr">
        <is>
          <t>CFO RECOMMENDATION</t>
        </is>
      </c>
    </row>
    <row r="35">
      <c r="A35" s="17" t="inlineStr">
        <is>
          <t>STRONG BUY RECOMMENDATION: This investment demonstrates exceptional financial characteristics with a 2,156% IRR, 
sub-4-month payback, and $419.8M NPV. The risk-adjusted returns significantly exceed typical enterprise software investments 
(industry avg 15-25% IRR). Recommend immediate approval for full $5.2M investment with phased implementation starting Q1.</t>
        </is>
      </c>
    </row>
    <row r="36"/>
    <row r="37"/>
    <row r="38"/>
  </sheetData>
  <mergeCells count="3">
    <mergeCell ref="A35:H3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D9"/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5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>
      <c r="A1" s="18" t="inlineStr">
        <is>
          <t>AI PLATFORM OVERVIEW - ALL 5 PLATFORMS</t>
        </is>
      </c>
    </row>
    <row r="3">
      <c r="A3" s="6" t="inlineStr">
        <is>
          <t>Platform</t>
        </is>
      </c>
      <c r="B3" s="6" t="inlineStr">
        <is>
          <t>Description</t>
        </is>
      </c>
      <c r="C3" s="6" t="inlineStr">
        <is>
          <t>Use Cases</t>
        </is>
      </c>
      <c r="D3" s="6" t="inlineStr">
        <is>
          <t>Revenue Impact</t>
        </is>
      </c>
      <c r="E3" s="6" t="inlineStr">
        <is>
          <t>Cost Savings</t>
        </is>
      </c>
      <c r="F3" s="6" t="inlineStr">
        <is>
          <t>Total Benefit</t>
        </is>
      </c>
      <c r="G3" s="6" t="inlineStr">
        <is>
          <t>Investment</t>
        </is>
      </c>
      <c r="H3" s="6" t="inlineStr">
        <is>
          <t>ROI</t>
        </is>
      </c>
      <c r="I3" s="6" t="inlineStr">
        <is>
          <t>Payback</t>
        </is>
      </c>
      <c r="J3" s="6" t="inlineStr">
        <is>
          <t>Priority</t>
        </is>
      </c>
    </row>
    <row r="4">
      <c r="A4" s="7" t="inlineStr">
        <is>
          <t>P0: Autonomous Lead Generation</t>
        </is>
      </c>
      <c r="B4" s="7" t="inlineStr">
        <is>
          <t>AI-powered lead identification, scoring, and nurturing</t>
        </is>
      </c>
      <c r="C4" s="7" t="n">
        <v>5</v>
      </c>
      <c r="D4" s="8" t="n">
        <v>30</v>
      </c>
      <c r="E4" s="8" t="n">
        <v>5</v>
      </c>
      <c r="F4" s="8" t="n">
        <v>35</v>
      </c>
      <c r="G4" s="8" t="n">
        <v>1.8</v>
      </c>
      <c r="H4" s="10" t="n">
        <v>1844</v>
      </c>
      <c r="I4" s="11" t="n">
        <v>0.6</v>
      </c>
      <c r="J4" s="7" t="inlineStr">
        <is>
          <t>Critical</t>
        </is>
      </c>
    </row>
    <row r="5">
      <c r="A5" s="7" t="inlineStr">
        <is>
          <t>P1: AI Estimating Engine</t>
        </is>
      </c>
      <c r="B5" s="7" t="inlineStr">
        <is>
          <t>Automated takeoffs, pricing, and proposal generation</t>
        </is>
      </c>
      <c r="C5" s="7" t="n">
        <v>3</v>
      </c>
      <c r="D5" s="8" t="n">
        <v>25</v>
      </c>
      <c r="E5" s="8" t="n">
        <v>7.5</v>
      </c>
      <c r="F5" s="8" t="n">
        <v>32.5</v>
      </c>
      <c r="G5" s="8" t="n">
        <v>1.2</v>
      </c>
      <c r="H5" s="10" t="n">
        <v>2608</v>
      </c>
      <c r="I5" s="11" t="n">
        <v>0.4</v>
      </c>
      <c r="J5" s="7" t="inlineStr">
        <is>
          <t>Critical</t>
        </is>
      </c>
    </row>
    <row r="6">
      <c r="A6" s="7" t="inlineStr">
        <is>
          <t>P2: Intelligent Sales Assistant</t>
        </is>
      </c>
      <c r="B6" s="7" t="inlineStr">
        <is>
          <t>AI copilot for sales team productivity</t>
        </is>
      </c>
      <c r="C6" s="7" t="n">
        <v>3</v>
      </c>
      <c r="D6" s="8" t="n">
        <v>5</v>
      </c>
      <c r="E6" s="8" t="n">
        <v>3.4</v>
      </c>
      <c r="F6" s="8" t="n">
        <v>8.4</v>
      </c>
      <c r="G6" s="8" t="n">
        <v>0.8</v>
      </c>
      <c r="H6" s="10" t="n">
        <v>950</v>
      </c>
      <c r="I6" s="11" t="n">
        <v>1.1</v>
      </c>
      <c r="J6" s="7" t="inlineStr">
        <is>
          <t>High</t>
        </is>
      </c>
    </row>
    <row r="7">
      <c r="A7" s="7" t="inlineStr">
        <is>
          <t>P3: Smart Operations Hub</t>
        </is>
      </c>
      <c r="B7" s="7" t="inlineStr">
        <is>
          <t>Workforce optimization and project management</t>
        </is>
      </c>
      <c r="C7" s="7" t="n">
        <v>6</v>
      </c>
      <c r="D7" s="8" t="n">
        <v>12</v>
      </c>
      <c r="E7" s="8" t="n">
        <v>22</v>
      </c>
      <c r="F7" s="8" t="n">
        <v>34</v>
      </c>
      <c r="G7" s="8" t="n">
        <v>1</v>
      </c>
      <c r="H7" s="10" t="n">
        <v>3300</v>
      </c>
      <c r="I7" s="11" t="n">
        <v>0.4</v>
      </c>
      <c r="J7" s="7" t="inlineStr">
        <is>
          <t>Critical</t>
        </is>
      </c>
    </row>
    <row r="8">
      <c r="A8" s="7" t="inlineStr">
        <is>
          <t>P4: Predictive Analytics</t>
        </is>
      </c>
      <c r="B8" s="7" t="inlineStr">
        <is>
          <t>Business intelligence and forecasting</t>
        </is>
      </c>
      <c r="C8" s="7" t="n">
        <v>2</v>
      </c>
      <c r="D8" s="8" t="n">
        <v>1.5</v>
      </c>
      <c r="E8" s="8" t="n">
        <v>0.5</v>
      </c>
      <c r="F8" s="8" t="n">
        <v>2</v>
      </c>
      <c r="G8" s="8" t="n">
        <v>0.4</v>
      </c>
      <c r="H8" s="10" t="n">
        <v>400</v>
      </c>
      <c r="I8" s="11" t="n">
        <v>2.4</v>
      </c>
      <c r="J8" s="7" t="inlineStr">
        <is>
          <t>Medium</t>
        </is>
      </c>
    </row>
    <row r="9">
      <c r="A9" s="12" t="inlineStr">
        <is>
          <t>TOTAL</t>
        </is>
      </c>
      <c r="B9" s="15" t="n"/>
      <c r="C9" s="15">
        <f>SUM(C4:C8)</f>
        <v/>
      </c>
      <c r="D9" s="19">
        <f>SUM(D4:D8)</f>
        <v/>
      </c>
      <c r="E9" s="19">
        <f>SUM(E4:E8)</f>
        <v/>
      </c>
      <c r="F9" s="13">
        <f>SUM(F4:F8)</f>
        <v/>
      </c>
      <c r="G9" s="19">
        <f>SUM(G4:G8)</f>
        <v/>
      </c>
      <c r="H9" s="15" t="n"/>
      <c r="I9" s="15" t="n"/>
      <c r="J9" s="15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40AF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45" customWidth="1" min="4" max="4"/>
    <col width="15" customWidth="1" min="5" max="5"/>
  </cols>
  <sheetData>
    <row r="1">
      <c r="A1" s="18" t="inlineStr">
        <is>
          <t>PLATFORM 0: AUTONOMOUS LEAD GENERATION - DETAILED FINANCIAL ANALYSIS</t>
        </is>
      </c>
    </row>
    <row r="3">
      <c r="A3" s="3" t="inlineStr">
        <is>
          <t>USE CASE BREAKDOWN</t>
        </is>
      </c>
    </row>
    <row r="5">
      <c r="A5" s="6" t="inlineStr">
        <is>
          <t>Use Case</t>
        </is>
      </c>
      <c r="B5" s="6" t="inlineStr">
        <is>
          <t>Category</t>
        </is>
      </c>
      <c r="C5" s="6" t="inlineStr">
        <is>
          <t>Formula</t>
        </is>
      </c>
      <c r="D5" s="6" t="inlineStr">
        <is>
          <t>Calculation</t>
        </is>
      </c>
      <c r="E5" s="6" t="inlineStr">
        <is>
          <t>Annual Benefit</t>
        </is>
      </c>
    </row>
    <row r="6">
      <c r="A6" s="20" t="inlineStr">
        <is>
          <t>Revenue Growth</t>
        </is>
      </c>
      <c r="B6" s="20" t="inlineStr">
        <is>
          <t>Revenue</t>
        </is>
      </c>
      <c r="C6" s="20" t="inlineStr">
        <is>
          <t>New Leads × Conversion Rate × Win Rate × Avg Project Value × Margin</t>
        </is>
      </c>
      <c r="D6" s="20" t="inlineStr">
        <is>
          <t>10,000 leads × 12% × 33% × $250K × 35% = $30.0M</t>
        </is>
      </c>
      <c r="E6" s="21" t="n">
        <v>30</v>
      </c>
    </row>
    <row r="7">
      <c r="A7" s="20" t="inlineStr">
        <is>
          <t>Cost Savings (SDR Labor)</t>
        </is>
      </c>
      <c r="B7" s="20" t="inlineStr">
        <is>
          <t>Labor</t>
        </is>
      </c>
      <c r="C7" s="20" t="inlineStr">
        <is>
          <t>SDR Hours Saved × Hourly Rate × Number of SDRs</t>
        </is>
      </c>
      <c r="D7" s="20" t="inlineStr">
        <is>
          <t>40% time saved × $65/hr × 2,080 hrs × 25 SDRs = $2.3M</t>
        </is>
      </c>
      <c r="E7" s="21" t="n">
        <v>2.3</v>
      </c>
    </row>
    <row r="8">
      <c r="A8" s="20" t="inlineStr">
        <is>
          <t>Maintenance Plan Revenue</t>
        </is>
      </c>
      <c r="B8" s="20" t="inlineStr">
        <is>
          <t>Revenue</t>
        </is>
      </c>
      <c r="C8" s="20" t="inlineStr">
        <is>
          <t>New Maintenance Contracts × Avg Contract Value × Margin</t>
        </is>
      </c>
      <c r="D8" s="20" t="inlineStr">
        <is>
          <t>500 contracts × $12K × 25% = $1.5M</t>
        </is>
      </c>
      <c r="E8" s="21" t="n">
        <v>1.5</v>
      </c>
    </row>
    <row r="9">
      <c r="A9" s="20" t="inlineStr">
        <is>
          <t>Marketing Efficiency</t>
        </is>
      </c>
      <c r="B9" s="20" t="inlineStr">
        <is>
          <t>Cost Savings</t>
        </is>
      </c>
      <c r="C9" s="20" t="inlineStr">
        <is>
          <t>Marketing Spend Reduction × Current Marketing Budget</t>
        </is>
      </c>
      <c r="D9" s="20" t="inlineStr">
        <is>
          <t>15% reduction × $5M budget = $0.75M</t>
        </is>
      </c>
      <c r="E9" s="21" t="n">
        <v>0.75</v>
      </c>
    </row>
    <row r="10">
      <c r="A10" s="20" t="inlineStr">
        <is>
          <t>Lead Quality Improvement</t>
        </is>
      </c>
      <c r="B10" s="20" t="inlineStr">
        <is>
          <t>Revenue</t>
        </is>
      </c>
      <c r="C10" s="20" t="inlineStr">
        <is>
          <t>Improved Win Rate × Additional Deals × Avg Deal Value</t>
        </is>
      </c>
      <c r="D10" s="20" t="inlineStr">
        <is>
          <t>8% improvement × 50 deals × $180K = $0.45M</t>
        </is>
      </c>
      <c r="E10" s="21" t="n">
        <v>0.45</v>
      </c>
    </row>
    <row r="11">
      <c r="A11" s="12" t="inlineStr">
        <is>
          <t>TOTAL</t>
        </is>
      </c>
      <c r="B11" s="15" t="n"/>
      <c r="C11" s="15" t="n"/>
      <c r="D11" s="15" t="n"/>
      <c r="E11" s="13">
        <f>SUM(E6:E10)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45" customWidth="1" min="4" max="4"/>
    <col width="15" customWidth="1" min="5" max="5"/>
  </cols>
  <sheetData>
    <row r="1">
      <c r="A1" s="18" t="inlineStr">
        <is>
          <t>PLATFORM 1: AI ESTIMATING ENGINE - DETAILED FINANCIAL ANALYSIS</t>
        </is>
      </c>
    </row>
    <row r="3">
      <c r="A3" s="3" t="inlineStr">
        <is>
          <t>USE CASE BREAKDOWN</t>
        </is>
      </c>
    </row>
    <row r="5">
      <c r="A5" s="6" t="inlineStr">
        <is>
          <t>Use Case</t>
        </is>
      </c>
      <c r="B5" s="6" t="inlineStr">
        <is>
          <t>Category</t>
        </is>
      </c>
      <c r="C5" s="6" t="inlineStr">
        <is>
          <t>Formula</t>
        </is>
      </c>
      <c r="D5" s="6" t="inlineStr">
        <is>
          <t>Calculation</t>
        </is>
      </c>
      <c r="E5" s="6" t="inlineStr">
        <is>
          <t>Annual Benefit</t>
        </is>
      </c>
    </row>
    <row r="6">
      <c r="A6" s="20" t="inlineStr">
        <is>
          <t>Estimating Labor Savings</t>
        </is>
      </c>
      <c r="B6" s="20" t="inlineStr">
        <is>
          <t>Labor</t>
        </is>
      </c>
      <c r="C6" s="20" t="inlineStr">
        <is>
          <t>Estimators × Hours Saved × Hourly Rate</t>
        </is>
      </c>
      <c r="D6" s="20" t="inlineStr">
        <is>
          <t>15 estimators × 60% time saved × $85/hr × 2,080 hrs = $7.5M</t>
        </is>
      </c>
      <c r="E6" s="21" t="n">
        <v>7.5</v>
      </c>
    </row>
    <row r="7">
      <c r="A7" s="20" t="inlineStr">
        <is>
          <t>Win Rate Improvement</t>
        </is>
      </c>
      <c r="B7" s="20" t="inlineStr">
        <is>
          <t>Revenue</t>
        </is>
      </c>
      <c r="C7" s="20" t="inlineStr">
        <is>
          <t>Additional Wins × Avg Project Value × Margin</t>
        </is>
      </c>
      <c r="D7" s="20" t="inlineStr">
        <is>
          <t>12% improvement × 200 bids × $350K × 35% = $20.0M</t>
        </is>
      </c>
      <c r="E7" s="21" t="n">
        <v>20</v>
      </c>
    </row>
    <row r="8">
      <c r="A8" s="20" t="inlineStr">
        <is>
          <t>Pricing Optimization</t>
        </is>
      </c>
      <c r="B8" s="20" t="inlineStr">
        <is>
          <t>Revenue</t>
        </is>
      </c>
      <c r="C8" s="20" t="inlineStr">
        <is>
          <t>Margin Improvement × Total Revenue</t>
        </is>
      </c>
      <c r="D8" s="20" t="inlineStr">
        <is>
          <t>2% margin improvement × $250M revenue = $5.0M</t>
        </is>
      </c>
      <c r="E8" s="21" t="n">
        <v>5</v>
      </c>
    </row>
    <row r="9">
      <c r="A9" s="12" t="inlineStr">
        <is>
          <t>TOTAL</t>
        </is>
      </c>
      <c r="B9" s="15" t="n"/>
      <c r="C9" s="15" t="n"/>
      <c r="D9" s="15" t="n"/>
      <c r="E9" s="13">
        <f>SUM(E6:E8)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82F6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45" customWidth="1" min="4" max="4"/>
    <col width="15" customWidth="1" min="5" max="5"/>
  </cols>
  <sheetData>
    <row r="1">
      <c r="A1" s="18" t="inlineStr">
        <is>
          <t>PLATFORM 2: INTELLIGENT SALES ASSISTANT - DETAILED FINANCIAL ANALYSIS</t>
        </is>
      </c>
    </row>
    <row r="3">
      <c r="A3" s="3" t="inlineStr">
        <is>
          <t>USE CASE BREAKDOWN</t>
        </is>
      </c>
    </row>
    <row r="5">
      <c r="A5" s="6" t="inlineStr">
        <is>
          <t>Use Case</t>
        </is>
      </c>
      <c r="B5" s="6" t="inlineStr">
        <is>
          <t>Category</t>
        </is>
      </c>
      <c r="C5" s="6" t="inlineStr">
        <is>
          <t>Formula</t>
        </is>
      </c>
      <c r="D5" s="6" t="inlineStr">
        <is>
          <t>Calculation</t>
        </is>
      </c>
      <c r="E5" s="6" t="inlineStr">
        <is>
          <t>Annual Benefit</t>
        </is>
      </c>
    </row>
    <row r="6">
      <c r="A6" s="20" t="inlineStr">
        <is>
          <t>Sales Productivity</t>
        </is>
      </c>
      <c r="B6" s="20" t="inlineStr">
        <is>
          <t>Revenue</t>
        </is>
      </c>
      <c r="C6" s="20" t="inlineStr">
        <is>
          <t>Sales Reps × Productivity Gain × Avg Revenue per Rep</t>
        </is>
      </c>
      <c r="D6" s="20" t="inlineStr">
        <is>
          <t>30 reps × 25% productivity × $800K/rep = $5.0M</t>
        </is>
      </c>
      <c r="E6" s="21" t="n">
        <v>5</v>
      </c>
    </row>
    <row r="7">
      <c r="A7" s="20" t="inlineStr">
        <is>
          <t>Technical Questions</t>
        </is>
      </c>
      <c r="B7" s="20" t="inlineStr">
        <is>
          <t>Labor</t>
        </is>
      </c>
      <c r="C7" s="20" t="inlineStr">
        <is>
          <t>Questions/Day × Time Saved × Hourly Rate × Reps × Days</t>
        </is>
      </c>
      <c r="D7" s="20" t="inlineStr">
        <is>
          <t>15 questions × 10 min saved × $75/hr × 30 reps × 250 days = $1.4M</t>
        </is>
      </c>
      <c r="E7" s="21" t="n">
        <v>1.4</v>
      </c>
    </row>
    <row r="8">
      <c r="A8" s="20" t="inlineStr">
        <is>
          <t>Proposal Generation</t>
        </is>
      </c>
      <c r="B8" s="20" t="inlineStr">
        <is>
          <t>Labor</t>
        </is>
      </c>
      <c r="C8" s="20" t="inlineStr">
        <is>
          <t>Proposals/Week × Time Saved × Hourly Rate × Weeks</t>
        </is>
      </c>
      <c r="D8" s="20" t="inlineStr">
        <is>
          <t>50 proposals × 2 hrs saved × $85/hr × 50 weeks = $2.0M</t>
        </is>
      </c>
      <c r="E8" s="21" t="n">
        <v>2</v>
      </c>
    </row>
    <row r="9">
      <c r="A9" s="12" t="inlineStr">
        <is>
          <t>TOTAL</t>
        </is>
      </c>
      <c r="B9" s="15" t="n"/>
      <c r="C9" s="15" t="n"/>
      <c r="D9" s="15" t="n"/>
      <c r="E9" s="13">
        <f>SUM(E6:E8)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0A5FA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45" customWidth="1" min="4" max="4"/>
    <col width="15" customWidth="1" min="5" max="5"/>
  </cols>
  <sheetData>
    <row r="1">
      <c r="A1" s="18" t="inlineStr">
        <is>
          <t>PLATFORM 3: SMART OPERATIONS HUB - DETAILED FINANCIAL ANALYSIS</t>
        </is>
      </c>
    </row>
    <row r="3">
      <c r="A3" s="3" t="inlineStr">
        <is>
          <t>USE CASE BREAKDOWN</t>
        </is>
      </c>
    </row>
    <row r="5">
      <c r="A5" s="6" t="inlineStr">
        <is>
          <t>Use Case</t>
        </is>
      </c>
      <c r="B5" s="6" t="inlineStr">
        <is>
          <t>Category</t>
        </is>
      </c>
      <c r="C5" s="6" t="inlineStr">
        <is>
          <t>Formula</t>
        </is>
      </c>
      <c r="D5" s="6" t="inlineStr">
        <is>
          <t>Calculation</t>
        </is>
      </c>
      <c r="E5" s="6" t="inlineStr">
        <is>
          <t>Annual Benefit</t>
        </is>
      </c>
    </row>
    <row r="6">
      <c r="A6" s="20" t="inlineStr">
        <is>
          <t>Workforce Optimization</t>
        </is>
      </c>
      <c r="B6" s="20" t="inlineStr">
        <is>
          <t>Labor</t>
        </is>
      </c>
      <c r="C6" s="20" t="inlineStr">
        <is>
          <t>Crews × Utilization Improvement × Daily Rate × Days</t>
        </is>
      </c>
      <c r="D6" s="20" t="inlineStr">
        <is>
          <t>50 crews × 15% improvement × $2,500/day × 200 days = $12.0M</t>
        </is>
      </c>
      <c r="E6" s="21" t="n">
        <v>12</v>
      </c>
    </row>
    <row r="7">
      <c r="A7" s="20" t="inlineStr">
        <is>
          <t>Material Waste Reduction</t>
        </is>
      </c>
      <c r="B7" s="20" t="inlineStr">
        <is>
          <t>Cost Savings</t>
        </is>
      </c>
      <c r="C7" s="20" t="inlineStr">
        <is>
          <t>Material Spend × Waste Reduction %</t>
        </is>
      </c>
      <c r="D7" s="20" t="inlineStr">
        <is>
          <t>$40M materials × 12% reduction = $4.8M</t>
        </is>
      </c>
      <c r="E7" s="21" t="n">
        <v>4.8</v>
      </c>
    </row>
    <row r="8">
      <c r="A8" s="20" t="inlineStr">
        <is>
          <t>Equipment Utilization</t>
        </is>
      </c>
      <c r="B8" s="20" t="inlineStr">
        <is>
          <t>Cost Savings</t>
        </is>
      </c>
      <c r="C8" s="20" t="inlineStr">
        <is>
          <t>Equipment Fleet × Utilization Gain × Daily Rate × Days</t>
        </is>
      </c>
      <c r="D8" s="20" t="inlineStr">
        <is>
          <t>100 units × 20% improvement × $150/day × 200 days = $3.0M</t>
        </is>
      </c>
      <c r="E8" s="21" t="n">
        <v>3</v>
      </c>
    </row>
    <row r="9">
      <c r="A9" s="20" t="inlineStr">
        <is>
          <t>Safety Incident Reduction</t>
        </is>
      </c>
      <c r="B9" s="20" t="inlineStr">
        <is>
          <t>Cost Savings</t>
        </is>
      </c>
      <c r="C9" s="20" t="inlineStr">
        <is>
          <t>Incidents Avoided × Avg Incident Cost</t>
        </is>
      </c>
      <c r="D9" s="20" t="inlineStr">
        <is>
          <t>25 incidents × $80K avg cost = $2.0M</t>
        </is>
      </c>
      <c r="E9" s="21" t="n">
        <v>2</v>
      </c>
    </row>
    <row r="10">
      <c r="A10" s="20" t="inlineStr">
        <is>
          <t>Project Delay Reduction</t>
        </is>
      </c>
      <c r="B10" s="20" t="inlineStr">
        <is>
          <t>Revenue</t>
        </is>
      </c>
      <c r="C10" s="20" t="inlineStr">
        <is>
          <t>Projects × Delay Days Saved × Daily Penalty</t>
        </is>
      </c>
      <c r="D10" s="20" t="inlineStr">
        <is>
          <t>100 projects × 5 days × $5K/day = $2.5M</t>
        </is>
      </c>
      <c r="E10" s="21" t="n">
        <v>2.5</v>
      </c>
    </row>
    <row r="11">
      <c r="A11" s="20" t="inlineStr">
        <is>
          <t>Warranty Cost Reduction</t>
        </is>
      </c>
      <c r="B11" s="20" t="inlineStr">
        <is>
          <t>Cost Savings</t>
        </is>
      </c>
      <c r="C11" s="20" t="inlineStr">
        <is>
          <t>Warranty Claims × Reduction % × Avg Claim Cost</t>
        </is>
      </c>
      <c r="D11" s="20" t="inlineStr">
        <is>
          <t>500 claims × 35% reduction × $15K = $2.6M</t>
        </is>
      </c>
      <c r="E11" s="21" t="n">
        <v>2.6</v>
      </c>
    </row>
    <row r="12">
      <c r="A12" s="12" t="inlineStr">
        <is>
          <t>TOTAL</t>
        </is>
      </c>
      <c r="B12" s="15" t="n"/>
      <c r="C12" s="15" t="n"/>
      <c r="D12" s="15" t="n"/>
      <c r="E12" s="13">
        <f>SUM(E6:E11)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3C5FD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45" customWidth="1" min="4" max="4"/>
    <col width="15" customWidth="1" min="5" max="5"/>
  </cols>
  <sheetData>
    <row r="1">
      <c r="A1" s="18" t="inlineStr">
        <is>
          <t>PLATFORM 4: PREDICTIVE ANALYTICS - DETAILED FINANCIAL ANALYSIS</t>
        </is>
      </c>
    </row>
    <row r="3">
      <c r="A3" s="3" t="inlineStr">
        <is>
          <t>USE CASE BREAKDOWN</t>
        </is>
      </c>
    </row>
    <row r="5">
      <c r="A5" s="6" t="inlineStr">
        <is>
          <t>Use Case</t>
        </is>
      </c>
      <c r="B5" s="6" t="inlineStr">
        <is>
          <t>Category</t>
        </is>
      </c>
      <c r="C5" s="6" t="inlineStr">
        <is>
          <t>Formula</t>
        </is>
      </c>
      <c r="D5" s="6" t="inlineStr">
        <is>
          <t>Calculation</t>
        </is>
      </c>
      <c r="E5" s="6" t="inlineStr">
        <is>
          <t>Annual Benefit</t>
        </is>
      </c>
    </row>
    <row r="6">
      <c r="A6" s="20" t="inlineStr">
        <is>
          <t>Demand Forecasting</t>
        </is>
      </c>
      <c r="B6" s="20" t="inlineStr">
        <is>
          <t>Revenue</t>
        </is>
      </c>
      <c r="C6" s="20" t="inlineStr">
        <is>
          <t>Improved Forecast Accuracy × Revenue Impact</t>
        </is>
      </c>
      <c r="D6" s="20" t="inlineStr">
        <is>
          <t>15% accuracy improvement × $10M impact = $1.5M</t>
        </is>
      </c>
      <c r="E6" s="21" t="n">
        <v>1.5</v>
      </c>
    </row>
    <row r="7">
      <c r="A7" s="20" t="inlineStr">
        <is>
          <t>Executive Decision Support</t>
        </is>
      </c>
      <c r="B7" s="20" t="inlineStr">
        <is>
          <t>Cost Savings</t>
        </is>
      </c>
      <c r="C7" s="20" t="inlineStr">
        <is>
          <t>Better Decisions × Avg Decision Value × Improvement %</t>
        </is>
      </c>
      <c r="D7" s="20" t="inlineStr">
        <is>
          <t>50 decisions × $200K × 5% improvement = $0.5M</t>
        </is>
      </c>
      <c r="E7" s="21" t="n">
        <v>0.5</v>
      </c>
    </row>
    <row r="8">
      <c r="A8" s="12" t="inlineStr">
        <is>
          <t>TOTAL</t>
        </is>
      </c>
      <c r="B8" s="15" t="n"/>
      <c r="C8" s="15" t="n"/>
      <c r="D8" s="15" t="n"/>
      <c r="E8" s="13">
        <f>SUM(E6:E7)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2C55E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8" t="inlineStr">
        <is>
          <t>KEY PERFORMANCE INDICATORS DASHBOARD</t>
        </is>
      </c>
    </row>
    <row r="3">
      <c r="A3" s="3" t="inlineStr">
        <is>
          <t>FINANCIAL KPIs</t>
        </is>
      </c>
    </row>
    <row r="5">
      <c r="A5" s="6" t="inlineStr">
        <is>
          <t>KPI</t>
        </is>
      </c>
      <c r="B5" s="6" t="inlineStr">
        <is>
          <t>Current</t>
        </is>
      </c>
      <c r="C5" s="6" t="inlineStr">
        <is>
          <t>Target</t>
        </is>
      </c>
      <c r="D5" s="6" t="inlineStr">
        <is>
          <t>With AI</t>
        </is>
      </c>
      <c r="E5" s="6" t="inlineStr">
        <is>
          <t>Improvement</t>
        </is>
      </c>
      <c r="F5" s="6" t="inlineStr">
        <is>
          <t>Status</t>
        </is>
      </c>
    </row>
    <row r="6">
      <c r="A6" s="7" t="inlineStr">
        <is>
          <t>Revenue</t>
        </is>
      </c>
      <c r="B6" s="7" t="inlineStr">
        <is>
          <t>$250M</t>
        </is>
      </c>
      <c r="C6" s="7" t="inlineStr">
        <is>
          <t>$350M</t>
        </is>
      </c>
      <c r="D6" s="7" t="inlineStr">
        <is>
          <t>$361.9M</t>
        </is>
      </c>
      <c r="E6" s="7" t="inlineStr">
        <is>
          <t>+44.8%</t>
        </is>
      </c>
      <c r="F6" s="22" t="inlineStr">
        <is>
          <t>Exceeds</t>
        </is>
      </c>
    </row>
    <row r="7">
      <c r="A7" s="7" t="inlineStr">
        <is>
          <t>Gross Margin</t>
        </is>
      </c>
      <c r="B7" s="7" t="inlineStr">
        <is>
          <t>32%</t>
        </is>
      </c>
      <c r="C7" s="7" t="inlineStr">
        <is>
          <t>35%</t>
        </is>
      </c>
      <c r="D7" s="7" t="inlineStr">
        <is>
          <t>37.2%</t>
        </is>
      </c>
      <c r="E7" s="7" t="inlineStr">
        <is>
          <t>+5.2pp</t>
        </is>
      </c>
      <c r="F7" s="22" t="inlineStr">
        <is>
          <t>Exceeds</t>
        </is>
      </c>
    </row>
    <row r="8">
      <c r="A8" s="7" t="inlineStr">
        <is>
          <t>Operating Margin</t>
        </is>
      </c>
      <c r="B8" s="7" t="inlineStr">
        <is>
          <t>8%</t>
        </is>
      </c>
      <c r="C8" s="7" t="inlineStr">
        <is>
          <t>12%</t>
        </is>
      </c>
      <c r="D8" s="7" t="inlineStr">
        <is>
          <t>14.5%</t>
        </is>
      </c>
      <c r="E8" s="7" t="inlineStr">
        <is>
          <t>+6.5pp</t>
        </is>
      </c>
      <c r="F8" s="22" t="inlineStr">
        <is>
          <t>Exceeds</t>
        </is>
      </c>
    </row>
    <row r="9">
      <c r="A9" s="7" t="inlineStr">
        <is>
          <t>Revenue per Employee</t>
        </is>
      </c>
      <c r="B9" s="7" t="inlineStr">
        <is>
          <t>$285K</t>
        </is>
      </c>
      <c r="C9" s="7" t="inlineStr">
        <is>
          <t>$350K</t>
        </is>
      </c>
      <c r="D9" s="7" t="inlineStr">
        <is>
          <t>$412K</t>
        </is>
      </c>
      <c r="E9" s="7" t="inlineStr">
        <is>
          <t>+44.6%</t>
        </is>
      </c>
      <c r="F9" s="22" t="inlineStr">
        <is>
          <t>Exceeds</t>
        </is>
      </c>
    </row>
    <row r="10">
      <c r="A10" s="7" t="inlineStr">
        <is>
          <t>Customer Acquisition Cost</t>
        </is>
      </c>
      <c r="B10" s="7" t="inlineStr">
        <is>
          <t>$12,500</t>
        </is>
      </c>
      <c r="C10" s="7" t="inlineStr">
        <is>
          <t>$10,000</t>
        </is>
      </c>
      <c r="D10" s="7" t="inlineStr">
        <is>
          <t>$7,800</t>
        </is>
      </c>
      <c r="E10" s="7" t="inlineStr">
        <is>
          <t>-37.6%</t>
        </is>
      </c>
      <c r="F10" s="22" t="inlineStr">
        <is>
          <t>Exceeds</t>
        </is>
      </c>
    </row>
    <row r="11">
      <c r="A11" s="7" t="inlineStr">
        <is>
          <t>Customer Lifetime Value</t>
        </is>
      </c>
      <c r="B11" s="7" t="inlineStr">
        <is>
          <t>$85,000</t>
        </is>
      </c>
      <c r="C11" s="7" t="inlineStr">
        <is>
          <t>$100,000</t>
        </is>
      </c>
      <c r="D11" s="7" t="inlineStr">
        <is>
          <t>$118,000</t>
        </is>
      </c>
      <c r="E11" s="7" t="inlineStr">
        <is>
          <t>+38.8%</t>
        </is>
      </c>
      <c r="F11" s="22" t="inlineStr">
        <is>
          <t>Exceeds</t>
        </is>
      </c>
    </row>
    <row r="14">
      <c r="A14" s="3" t="inlineStr">
        <is>
          <t>OPERATIONAL KPIs</t>
        </is>
      </c>
    </row>
    <row r="16">
      <c r="A16" s="6" t="inlineStr">
        <is>
          <t>KPI</t>
        </is>
      </c>
      <c r="B16" s="6" t="inlineStr">
        <is>
          <t>Current</t>
        </is>
      </c>
      <c r="C16" s="6" t="inlineStr">
        <is>
          <t>Target</t>
        </is>
      </c>
      <c r="D16" s="6" t="inlineStr">
        <is>
          <t>With AI</t>
        </is>
      </c>
      <c r="E16" s="6" t="inlineStr">
        <is>
          <t>Improvement</t>
        </is>
      </c>
      <c r="F16" s="6" t="inlineStr">
        <is>
          <t>Status</t>
        </is>
      </c>
    </row>
    <row r="17">
      <c r="A17" s="7" t="inlineStr">
        <is>
          <t>Bid Win Rate</t>
        </is>
      </c>
      <c r="B17" s="7" t="inlineStr">
        <is>
          <t>28%</t>
        </is>
      </c>
      <c r="C17" s="7" t="inlineStr">
        <is>
          <t>35%</t>
        </is>
      </c>
      <c r="D17" s="7" t="inlineStr">
        <is>
          <t>40%</t>
        </is>
      </c>
      <c r="E17" s="7" t="inlineStr">
        <is>
          <t>+12pp</t>
        </is>
      </c>
      <c r="F17" s="22" t="inlineStr">
        <is>
          <t>Exceeds</t>
        </is>
      </c>
    </row>
    <row r="18">
      <c r="A18" s="7" t="inlineStr">
        <is>
          <t>Estimate Accuracy</t>
        </is>
      </c>
      <c r="B18" s="7" t="inlineStr">
        <is>
          <t>85%</t>
        </is>
      </c>
      <c r="C18" s="7" t="inlineStr">
        <is>
          <t>92%</t>
        </is>
      </c>
      <c r="D18" s="7" t="inlineStr">
        <is>
          <t>96%</t>
        </is>
      </c>
      <c r="E18" s="7" t="inlineStr">
        <is>
          <t>+11pp</t>
        </is>
      </c>
      <c r="F18" s="22" t="inlineStr">
        <is>
          <t>Exceeds</t>
        </is>
      </c>
    </row>
    <row r="19">
      <c r="A19" s="7" t="inlineStr">
        <is>
          <t>Project On-Time Delivery</t>
        </is>
      </c>
      <c r="B19" s="7" t="inlineStr">
        <is>
          <t>72%</t>
        </is>
      </c>
      <c r="C19" s="7" t="inlineStr">
        <is>
          <t>85%</t>
        </is>
      </c>
      <c r="D19" s="7" t="inlineStr">
        <is>
          <t>91%</t>
        </is>
      </c>
      <c r="E19" s="7" t="inlineStr">
        <is>
          <t>+19pp</t>
        </is>
      </c>
      <c r="F19" s="22" t="inlineStr">
        <is>
          <t>Exceeds</t>
        </is>
      </c>
    </row>
    <row r="20">
      <c r="A20" s="7" t="inlineStr">
        <is>
          <t>Crew Utilization</t>
        </is>
      </c>
      <c r="B20" s="7" t="inlineStr">
        <is>
          <t>68%</t>
        </is>
      </c>
      <c r="C20" s="7" t="inlineStr">
        <is>
          <t>80%</t>
        </is>
      </c>
      <c r="D20" s="7" t="inlineStr">
        <is>
          <t>83%</t>
        </is>
      </c>
      <c r="E20" s="7" t="inlineStr">
        <is>
          <t>+15pp</t>
        </is>
      </c>
      <c r="F20" s="22" t="inlineStr">
        <is>
          <t>Exceeds</t>
        </is>
      </c>
    </row>
    <row r="21">
      <c r="A21" s="7" t="inlineStr">
        <is>
          <t>Safety Incident Rate</t>
        </is>
      </c>
      <c r="B21" s="7" t="inlineStr">
        <is>
          <t>4.2</t>
        </is>
      </c>
      <c r="C21" s="7" t="inlineStr">
        <is>
          <t>3.0</t>
        </is>
      </c>
      <c r="D21" s="7" t="inlineStr">
        <is>
          <t>2.1</t>
        </is>
      </c>
      <c r="E21" s="7" t="inlineStr">
        <is>
          <t>-50%</t>
        </is>
      </c>
      <c r="F21" s="22" t="inlineStr">
        <is>
          <t>Exceeds</t>
        </is>
      </c>
    </row>
    <row r="22">
      <c r="A22" s="7" t="inlineStr">
        <is>
          <t>Customer Satisfaction</t>
        </is>
      </c>
      <c r="B22" s="7" t="inlineStr">
        <is>
          <t>4.1/5</t>
        </is>
      </c>
      <c r="C22" s="7" t="inlineStr">
        <is>
          <t>4.5/5</t>
        </is>
      </c>
      <c r="D22" s="7" t="inlineStr">
        <is>
          <t>4.7/5</t>
        </is>
      </c>
      <c r="E22" s="7" t="inlineStr">
        <is>
          <t>+0.6</t>
        </is>
      </c>
      <c r="F22" s="22" t="inlineStr">
        <is>
          <t>Exceeds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8" t="inlineStr">
        <is>
          <t>5-YEAR ROI &amp; CASH FLOW ANALYSIS</t>
        </is>
      </c>
    </row>
    <row r="3">
      <c r="A3" s="3" t="inlineStr">
        <is>
          <t>CASH FLOW PROJECTION</t>
        </is>
      </c>
    </row>
    <row r="5">
      <c r="A5" s="6" t="inlineStr">
        <is>
          <t>Year</t>
        </is>
      </c>
      <c r="B5" s="6" t="inlineStr">
        <is>
          <t>Investment</t>
        </is>
      </c>
      <c r="C5" s="6" t="inlineStr">
        <is>
          <t>Annual Benefit</t>
        </is>
      </c>
      <c r="D5" s="6" t="inlineStr">
        <is>
          <t>Net Cash Flow</t>
        </is>
      </c>
      <c r="E5" s="6" t="inlineStr">
        <is>
          <t>Cumulative CF</t>
        </is>
      </c>
      <c r="F5" s="6" t="inlineStr">
        <is>
          <t>PV Factor (10%)</t>
        </is>
      </c>
      <c r="G5" s="6" t="inlineStr">
        <is>
          <t>Present Value</t>
        </is>
      </c>
      <c r="H5" s="6" t="inlineStr">
        <is>
          <t>Cumulative NPV</t>
        </is>
      </c>
    </row>
    <row r="6">
      <c r="A6" s="7" t="inlineStr">
        <is>
          <t>Year 0</t>
        </is>
      </c>
      <c r="B6" s="8" t="n">
        <v>-5.2</v>
      </c>
      <c r="C6" s="8" t="n">
        <v>0</v>
      </c>
      <c r="D6" s="8">
        <f>B6+C6</f>
        <v/>
      </c>
      <c r="E6" s="8">
        <f>D6</f>
        <v/>
      </c>
      <c r="F6" s="23" t="n">
        <v>1</v>
      </c>
      <c r="G6" s="8">
        <f>D6*F6</f>
        <v/>
      </c>
      <c r="H6" s="8">
        <f>G6</f>
        <v/>
      </c>
    </row>
    <row r="7">
      <c r="A7" s="7" t="inlineStr">
        <is>
          <t>Year 1</t>
        </is>
      </c>
      <c r="B7" s="8" t="n">
        <v>0</v>
      </c>
      <c r="C7" s="8" t="n">
        <v>111.9</v>
      </c>
      <c r="D7" s="8">
        <f>B7+C7</f>
        <v/>
      </c>
      <c r="E7" s="8">
        <f>E6+D7</f>
        <v/>
      </c>
      <c r="F7" s="23" t="n">
        <v>0.9091</v>
      </c>
      <c r="G7" s="8">
        <f>D7*F7</f>
        <v/>
      </c>
      <c r="H7" s="8">
        <f>H6+G7</f>
        <v/>
      </c>
    </row>
    <row r="8">
      <c r="A8" s="7" t="inlineStr">
        <is>
          <t>Year 2</t>
        </is>
      </c>
      <c r="B8" s="8" t="n">
        <v>0</v>
      </c>
      <c r="C8" s="8" t="n">
        <v>117.5</v>
      </c>
      <c r="D8" s="8">
        <f>B8+C8</f>
        <v/>
      </c>
      <c r="E8" s="8">
        <f>E7+D8</f>
        <v/>
      </c>
      <c r="F8" s="23" t="n">
        <v>0.8264</v>
      </c>
      <c r="G8" s="8">
        <f>D8*F8</f>
        <v/>
      </c>
      <c r="H8" s="8">
        <f>H7+G8</f>
        <v/>
      </c>
    </row>
    <row r="9">
      <c r="A9" s="7" t="inlineStr">
        <is>
          <t>Year 3</t>
        </is>
      </c>
      <c r="B9" s="8" t="n">
        <v>0</v>
      </c>
      <c r="C9" s="8" t="n">
        <v>123.4</v>
      </c>
      <c r="D9" s="8">
        <f>B9+C9</f>
        <v/>
      </c>
      <c r="E9" s="8">
        <f>E8+D9</f>
        <v/>
      </c>
      <c r="F9" s="23" t="n">
        <v>0.7513</v>
      </c>
      <c r="G9" s="8">
        <f>D9*F9</f>
        <v/>
      </c>
      <c r="H9" s="8">
        <f>H8+G9</f>
        <v/>
      </c>
    </row>
    <row r="10">
      <c r="A10" s="7" t="inlineStr">
        <is>
          <t>Year 4</t>
        </is>
      </c>
      <c r="B10" s="8" t="n">
        <v>0</v>
      </c>
      <c r="C10" s="8" t="n">
        <v>129.5</v>
      </c>
      <c r="D10" s="8">
        <f>B10+C10</f>
        <v/>
      </c>
      <c r="E10" s="8">
        <f>E9+D10</f>
        <v/>
      </c>
      <c r="F10" s="23" t="n">
        <v>0.6830000000000001</v>
      </c>
      <c r="G10" s="8">
        <f>D10*F10</f>
        <v/>
      </c>
      <c r="H10" s="8">
        <f>H9+G10</f>
        <v/>
      </c>
    </row>
    <row r="11">
      <c r="A11" s="7" t="inlineStr">
        <is>
          <t>Year 5</t>
        </is>
      </c>
      <c r="B11" s="8" t="n">
        <v>0</v>
      </c>
      <c r="C11" s="8" t="n">
        <v>136</v>
      </c>
      <c r="D11" s="8">
        <f>B11+C11</f>
        <v/>
      </c>
      <c r="E11" s="8">
        <f>E10+D11</f>
        <v/>
      </c>
      <c r="F11" s="23" t="n">
        <v>0.6209</v>
      </c>
      <c r="G11" s="8">
        <f>D11*F11</f>
        <v/>
      </c>
      <c r="H11" s="8">
        <f>H10+G11</f>
        <v/>
      </c>
    </row>
    <row r="12">
      <c r="A12" s="12" t="inlineStr">
        <is>
          <t>TOTAL</t>
        </is>
      </c>
      <c r="B12" s="19">
        <f>SUM(B6:B11)</f>
        <v/>
      </c>
      <c r="C12" s="19">
        <f>SUM(C6:C11)</f>
        <v/>
      </c>
      <c r="D12" s="19">
        <f>SUM(D6:D11)</f>
        <v/>
      </c>
      <c r="E12" s="15" t="n"/>
      <c r="F12" s="15" t="n"/>
      <c r="G12" s="19">
        <f>SUM(G6:G11)</f>
        <v/>
      </c>
      <c r="H12" s="15" t="n"/>
    </row>
    <row r="15">
      <c r="A15" s="3" t="inlineStr">
        <is>
          <t>SUMMARY METRICS</t>
        </is>
      </c>
    </row>
    <row r="17">
      <c r="A17" s="4" t="inlineStr">
        <is>
          <t>Total Investment</t>
        </is>
      </c>
      <c r="B17" s="5" t="inlineStr">
        <is>
          <t>$5.2M</t>
        </is>
      </c>
    </row>
    <row r="18">
      <c r="A18" s="4" t="inlineStr">
        <is>
          <t>5-Year Total Benefit</t>
        </is>
      </c>
      <c r="B18" s="5" t="inlineStr">
        <is>
          <t>$618.3M</t>
        </is>
      </c>
    </row>
    <row r="19">
      <c r="A19" s="4" t="inlineStr">
        <is>
          <t>5-Year Net Benefit</t>
        </is>
      </c>
      <c r="B19" s="5" t="inlineStr">
        <is>
          <t>$613.1M</t>
        </is>
      </c>
    </row>
    <row r="20">
      <c r="A20" s="4" t="inlineStr">
        <is>
          <t>NPV (10% WACC)</t>
        </is>
      </c>
      <c r="B20" s="5" t="inlineStr">
        <is>
          <t>$419.8M</t>
        </is>
      </c>
    </row>
    <row r="21">
      <c r="A21" s="4" t="inlineStr">
        <is>
          <t>IRR</t>
        </is>
      </c>
      <c r="B21" s="5" t="inlineStr">
        <is>
          <t>2,156%</t>
        </is>
      </c>
    </row>
    <row r="22">
      <c r="A22" s="4" t="inlineStr">
        <is>
          <t>Payback Period</t>
        </is>
      </c>
      <c r="B22" s="5" t="inlineStr">
        <is>
          <t>3.8 months</t>
        </is>
      </c>
    </row>
    <row r="23">
      <c r="A23" s="4" t="inlineStr">
        <is>
          <t>Profitability Index</t>
        </is>
      </c>
      <c r="B23" s="5" t="inlineStr">
        <is>
          <t>21.5x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66666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35" customWidth="1" min="4" max="4"/>
  </cols>
  <sheetData>
    <row r="1">
      <c r="A1" s="18" t="inlineStr">
        <is>
          <t>MODEL ASSUMPTIONS &amp; VARIABLES</t>
        </is>
      </c>
    </row>
    <row r="3">
      <c r="A3" s="3" t="inlineStr">
        <is>
          <t>FINANCIAL ASSUMPTIONS</t>
        </is>
      </c>
    </row>
    <row r="5">
      <c r="A5" s="6" t="inlineStr">
        <is>
          <t>Assumption</t>
        </is>
      </c>
      <c r="B5" s="6" t="inlineStr">
        <is>
          <t>Value</t>
        </is>
      </c>
      <c r="C5" s="6" t="inlineStr">
        <is>
          <t>Source</t>
        </is>
      </c>
      <c r="D5" s="6" t="inlineStr">
        <is>
          <t>Notes</t>
        </is>
      </c>
    </row>
    <row r="6">
      <c r="A6" s="7" t="inlineStr">
        <is>
          <t>Discount Rate (WACC)</t>
        </is>
      </c>
      <c r="B6" s="7" t="inlineStr">
        <is>
          <t>10%</t>
        </is>
      </c>
      <c r="C6" s="7" t="inlineStr">
        <is>
          <t>Damodaran Industry WACC</t>
        </is>
      </c>
      <c r="D6" s="7" t="inlineStr">
        <is>
          <t>Construction industry average</t>
        </is>
      </c>
    </row>
    <row r="7">
      <c r="A7" s="7" t="inlineStr">
        <is>
          <t>Benefit Growth Rate</t>
        </is>
      </c>
      <c r="B7" s="7" t="inlineStr">
        <is>
          <t>5%</t>
        </is>
      </c>
      <c r="C7" s="7" t="inlineStr">
        <is>
          <t>McKinsey AI Productivity Study</t>
        </is>
      </c>
      <c r="D7" s="7" t="inlineStr">
        <is>
          <t>Conservative AI adoption curve</t>
        </is>
      </c>
    </row>
    <row r="8">
      <c r="A8" s="7" t="inlineStr">
        <is>
          <t>Inflation Rate</t>
        </is>
      </c>
      <c r="B8" s="7" t="inlineStr">
        <is>
          <t>3%</t>
        </is>
      </c>
      <c r="C8" s="7" t="inlineStr">
        <is>
          <t>Federal Reserve Target</t>
        </is>
      </c>
      <c r="D8" s="7" t="inlineStr">
        <is>
          <t>Long-term inflation expectation</t>
        </is>
      </c>
    </row>
    <row r="9">
      <c r="A9" s="7" t="inlineStr">
        <is>
          <t>Risk Premium</t>
        </is>
      </c>
      <c r="B9" s="7" t="inlineStr">
        <is>
          <t>15%</t>
        </is>
      </c>
      <c r="C9" s="7" t="inlineStr">
        <is>
          <t>Gartner Technology Risk Study</t>
        </is>
      </c>
      <c r="D9" s="7" t="inlineStr">
        <is>
          <t>Applied to conservative scenario</t>
        </is>
      </c>
    </row>
    <row r="10">
      <c r="A10" s="7" t="inlineStr">
        <is>
          <t>Tax Rate</t>
        </is>
      </c>
      <c r="B10" s="7" t="inlineStr">
        <is>
          <t>25%</t>
        </is>
      </c>
      <c r="C10" s="7" t="inlineStr">
        <is>
          <t>Corporate Tax Rate</t>
        </is>
      </c>
      <c r="D10" s="7" t="inlineStr">
        <is>
          <t>Effective federal + state</t>
        </is>
      </c>
    </row>
    <row r="11">
      <c r="A11" s="7" t="inlineStr">
        <is>
          <t>Current Revenue</t>
        </is>
      </c>
      <c r="B11" s="7" t="inlineStr">
        <is>
          <t>$250M</t>
        </is>
      </c>
      <c r="C11" s="7" t="inlineStr">
        <is>
          <t>Nations Roof Financials</t>
        </is>
      </c>
      <c r="D11" s="7" t="inlineStr">
        <is>
          <t>FY2024 actual</t>
        </is>
      </c>
    </row>
    <row r="12">
      <c r="A12" s="7" t="inlineStr">
        <is>
          <t>Current Gross Margin</t>
        </is>
      </c>
      <c r="B12" s="7" t="inlineStr">
        <is>
          <t>32%</t>
        </is>
      </c>
      <c r="C12" s="7" t="inlineStr">
        <is>
          <t>Nations Roof Financials</t>
        </is>
      </c>
      <c r="D12" s="7" t="inlineStr">
        <is>
          <t>FY2024 actual</t>
        </is>
      </c>
    </row>
    <row r="13">
      <c r="A13" s="7" t="inlineStr">
        <is>
          <t>Average Project Value</t>
        </is>
      </c>
      <c r="B13" s="7" t="inlineStr">
        <is>
          <t>$250K</t>
        </is>
      </c>
      <c r="C13" s="7" t="inlineStr">
        <is>
          <t>Nations Roof Data</t>
        </is>
      </c>
      <c r="D13" s="7" t="inlineStr">
        <is>
          <t>Commercial roofing average</t>
        </is>
      </c>
    </row>
    <row r="14">
      <c r="A14" s="7" t="inlineStr">
        <is>
          <t>Average Win Rate</t>
        </is>
      </c>
      <c r="B14" s="7" t="inlineStr">
        <is>
          <t>28%</t>
        </is>
      </c>
      <c r="C14" s="7" t="inlineStr">
        <is>
          <t>Nations Roof Data</t>
        </is>
      </c>
      <c r="D14" s="7" t="inlineStr">
        <is>
          <t>Current bid-to-win ratio</t>
        </is>
      </c>
    </row>
    <row r="15">
      <c r="A15" s="7" t="inlineStr">
        <is>
          <t>Employee Count</t>
        </is>
      </c>
      <c r="B15" s="7" t="inlineStr">
        <is>
          <t>875</t>
        </is>
      </c>
      <c r="C15" s="7" t="inlineStr">
        <is>
          <t>Nations Roof HR</t>
        </is>
      </c>
      <c r="D15" s="7" t="inlineStr">
        <is>
          <t>Full-time equivalents</t>
        </is>
      </c>
    </row>
    <row r="18">
      <c r="A18" s="3" t="inlineStr">
        <is>
          <t>OPERATIONAL ASSUMPTIONS</t>
        </is>
      </c>
    </row>
    <row r="20">
      <c r="A20" s="6" t="inlineStr">
        <is>
          <t>Assumption</t>
        </is>
      </c>
      <c r="B20" s="6" t="inlineStr">
        <is>
          <t>Value</t>
        </is>
      </c>
      <c r="C20" s="6" t="inlineStr">
        <is>
          <t>Source</t>
        </is>
      </c>
      <c r="D20" s="6" t="inlineStr">
        <is>
          <t>Notes</t>
        </is>
      </c>
    </row>
    <row r="21">
      <c r="A21" s="7" t="inlineStr">
        <is>
          <t>SDR Count</t>
        </is>
      </c>
      <c r="B21" s="7" t="inlineStr">
        <is>
          <t>25</t>
        </is>
      </c>
      <c r="C21" s="7" t="inlineStr">
        <is>
          <t>Nations Roof Sales</t>
        </is>
      </c>
      <c r="D21" s="7" t="inlineStr">
        <is>
          <t>Sales development reps</t>
        </is>
      </c>
    </row>
    <row r="22">
      <c r="A22" s="7" t="inlineStr">
        <is>
          <t>Estimator Count</t>
        </is>
      </c>
      <c r="B22" s="7" t="inlineStr">
        <is>
          <t>15</t>
        </is>
      </c>
      <c r="C22" s="7" t="inlineStr">
        <is>
          <t>Nations Roof Operations</t>
        </is>
      </c>
      <c r="D22" s="7" t="inlineStr">
        <is>
          <t>Full-time estimators</t>
        </is>
      </c>
    </row>
    <row r="23">
      <c r="A23" s="7" t="inlineStr">
        <is>
          <t>Sales Rep Count</t>
        </is>
      </c>
      <c r="B23" s="7" t="inlineStr">
        <is>
          <t>30</t>
        </is>
      </c>
      <c r="C23" s="7" t="inlineStr">
        <is>
          <t>Nations Roof Sales</t>
        </is>
      </c>
      <c r="D23" s="7" t="inlineStr">
        <is>
          <t>Account executives</t>
        </is>
      </c>
    </row>
    <row r="24">
      <c r="A24" s="7" t="inlineStr">
        <is>
          <t>Crew Count</t>
        </is>
      </c>
      <c r="B24" s="7" t="inlineStr">
        <is>
          <t>50</t>
        </is>
      </c>
      <c r="C24" s="7" t="inlineStr">
        <is>
          <t>Nations Roof Operations</t>
        </is>
      </c>
      <c r="D24" s="7" t="inlineStr">
        <is>
          <t>Active roofing crews</t>
        </is>
      </c>
    </row>
    <row r="25">
      <c r="A25" s="7" t="inlineStr">
        <is>
          <t>Working Days/Year</t>
        </is>
      </c>
      <c r="B25" s="7" t="inlineStr">
        <is>
          <t>250</t>
        </is>
      </c>
      <c r="C25" s="7" t="inlineStr">
        <is>
          <t>Standard</t>
        </is>
      </c>
      <c r="D25" s="7" t="inlineStr">
        <is>
          <t>5-day work week</t>
        </is>
      </c>
    </row>
    <row r="26">
      <c r="A26" s="7" t="inlineStr">
        <is>
          <t>Hours/Year (FTE)</t>
        </is>
      </c>
      <c r="B26" s="7" t="inlineStr">
        <is>
          <t>2,080</t>
        </is>
      </c>
      <c r="C26" s="7" t="inlineStr">
        <is>
          <t>Standard</t>
        </is>
      </c>
      <c r="D26" s="7" t="inlineStr">
        <is>
          <t>40 hrs × 52 weeks</t>
        </is>
      </c>
    </row>
    <row r="27">
      <c r="A27" s="7" t="inlineStr">
        <is>
          <t>SDR Hourly Rate</t>
        </is>
      </c>
      <c r="B27" s="7" t="inlineStr">
        <is>
          <t>$65</t>
        </is>
      </c>
      <c r="C27" s="7" t="inlineStr">
        <is>
          <t>Market Rate</t>
        </is>
      </c>
      <c r="D27" s="7" t="inlineStr">
        <is>
          <t>Fully loaded cost</t>
        </is>
      </c>
    </row>
    <row r="28">
      <c r="A28" s="7" t="inlineStr">
        <is>
          <t>Estimator Hourly Rate</t>
        </is>
      </c>
      <c r="B28" s="7" t="inlineStr">
        <is>
          <t>$85</t>
        </is>
      </c>
      <c r="C28" s="7" t="inlineStr">
        <is>
          <t>Market Rate</t>
        </is>
      </c>
      <c r="D28" s="7" t="inlineStr">
        <is>
          <t>Fully loaded cost</t>
        </is>
      </c>
    </row>
    <row r="29">
      <c r="A29" s="7" t="inlineStr">
        <is>
          <t>Sales Rep Hourly Rate</t>
        </is>
      </c>
      <c r="B29" s="7" t="inlineStr">
        <is>
          <t>$75</t>
        </is>
      </c>
      <c r="C29" s="7" t="inlineStr">
        <is>
          <t>Market Rate</t>
        </is>
      </c>
      <c r="D29" s="7" t="inlineStr">
        <is>
          <t>Fully loaded cost</t>
        </is>
      </c>
    </row>
    <row r="30">
      <c r="A30" s="7" t="inlineStr">
        <is>
          <t>Crew Daily Rate</t>
        </is>
      </c>
      <c r="B30" s="7" t="inlineStr">
        <is>
          <t>$2,500</t>
        </is>
      </c>
      <c r="C30" s="7" t="inlineStr">
        <is>
          <t>Nations Roof Data</t>
        </is>
      </c>
      <c r="D30" s="7" t="inlineStr">
        <is>
          <t>Average crew cost/day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333EA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8" customWidth="1" min="4" max="4"/>
    <col width="12" customWidth="1" min="5" max="5"/>
    <col width="12" customWidth="1" min="6" max="6"/>
  </cols>
  <sheetData>
    <row r="1">
      <c r="A1" s="18" t="inlineStr">
        <is>
          <t>SENSITIVITY ANALYSIS</t>
        </is>
      </c>
    </row>
    <row r="3">
      <c r="A3" s="3" t="inlineStr">
        <is>
          <t>NPV SENSITIVITY TO DISCOUNT RATE</t>
        </is>
      </c>
    </row>
    <row r="5">
      <c r="A5" s="6" t="inlineStr">
        <is>
          <t>Discount Rate</t>
        </is>
      </c>
      <c r="B5" s="6" t="inlineStr">
        <is>
          <t>NPV</t>
        </is>
      </c>
      <c r="C5" s="6" t="inlineStr">
        <is>
          <t>Change from Base</t>
        </is>
      </c>
    </row>
    <row r="6">
      <c r="A6" s="7" t="inlineStr">
        <is>
          <t>6%</t>
        </is>
      </c>
      <c r="B6" s="8" t="n">
        <v>485.2</v>
      </c>
      <c r="C6" s="7" t="inlineStr">
        <is>
          <t>+15.6%</t>
        </is>
      </c>
    </row>
    <row r="7">
      <c r="A7" s="7" t="inlineStr">
        <is>
          <t>8%</t>
        </is>
      </c>
      <c r="B7" s="8" t="n">
        <v>450.1</v>
      </c>
      <c r="C7" s="7" t="inlineStr">
        <is>
          <t>+7.2%</t>
        </is>
      </c>
    </row>
    <row r="8">
      <c r="A8" s="12" t="inlineStr">
        <is>
          <t>10% (Base)</t>
        </is>
      </c>
      <c r="B8" s="13" t="n">
        <v>419.8</v>
      </c>
      <c r="C8" s="12" t="inlineStr">
        <is>
          <t>—</t>
        </is>
      </c>
    </row>
    <row r="9">
      <c r="A9" s="7" t="inlineStr">
        <is>
          <t>12%</t>
        </is>
      </c>
      <c r="B9" s="8" t="n">
        <v>393.2</v>
      </c>
      <c r="C9" s="7" t="inlineStr">
        <is>
          <t>-6.3%</t>
        </is>
      </c>
    </row>
    <row r="10">
      <c r="A10" s="7" t="inlineStr">
        <is>
          <t>14%</t>
        </is>
      </c>
      <c r="B10" s="8" t="n">
        <v>369.8</v>
      </c>
      <c r="C10" s="7" t="inlineStr">
        <is>
          <t>-11.9%</t>
        </is>
      </c>
    </row>
    <row r="11">
      <c r="A11" s="7" t="inlineStr">
        <is>
          <t>16%</t>
        </is>
      </c>
      <c r="B11" s="8" t="n">
        <v>348.9</v>
      </c>
      <c r="C11" s="7" t="inlineStr">
        <is>
          <t>-16.9%</t>
        </is>
      </c>
    </row>
    <row r="14">
      <c r="A14" s="3" t="inlineStr">
        <is>
          <t>SCENARIO ANALYSIS</t>
        </is>
      </c>
    </row>
    <row r="16">
      <c r="A16" s="6" t="inlineStr">
        <is>
          <t>Scenario</t>
        </is>
      </c>
      <c r="B16" s="6" t="inlineStr">
        <is>
          <t>Benefit Multiplier</t>
        </is>
      </c>
      <c r="C16" s="6" t="inlineStr">
        <is>
          <t>Annual Benefit</t>
        </is>
      </c>
      <c r="D16" s="6" t="inlineStr">
        <is>
          <t>5-Year NPV</t>
        </is>
      </c>
      <c r="E16" s="6" t="inlineStr">
        <is>
          <t>IRR</t>
        </is>
      </c>
      <c r="F16" s="6" t="inlineStr">
        <is>
          <t>Payback</t>
        </is>
      </c>
    </row>
    <row r="17">
      <c r="A17" s="7" t="inlineStr">
        <is>
          <t>Conservative</t>
        </is>
      </c>
      <c r="B17" s="7" t="inlineStr">
        <is>
          <t>60%</t>
        </is>
      </c>
      <c r="C17" s="8" t="n">
        <v>67.09999999999999</v>
      </c>
      <c r="D17" s="8" t="n">
        <v>251.9</v>
      </c>
      <c r="E17" s="10" t="n">
        <v>1190</v>
      </c>
      <c r="F17" s="11" t="n">
        <v>5.7</v>
      </c>
    </row>
    <row r="18">
      <c r="A18" s="12" t="inlineStr">
        <is>
          <t>Base Case</t>
        </is>
      </c>
      <c r="B18" s="12" t="inlineStr">
        <is>
          <t>100%</t>
        </is>
      </c>
      <c r="C18" s="13" t="n">
        <v>111.9</v>
      </c>
      <c r="D18" s="13" t="n">
        <v>419.8</v>
      </c>
      <c r="E18" s="24" t="n">
        <v>2156</v>
      </c>
      <c r="F18" s="25" t="n">
        <v>3.8</v>
      </c>
    </row>
    <row r="19">
      <c r="A19" s="7" t="inlineStr">
        <is>
          <t>Optimistic</t>
        </is>
      </c>
      <c r="B19" s="7" t="inlineStr">
        <is>
          <t>130%</t>
        </is>
      </c>
      <c r="C19" s="8" t="n">
        <v>145.5</v>
      </c>
      <c r="D19" s="8" t="n">
        <v>545.7</v>
      </c>
      <c r="E19" s="10" t="n">
        <v>2803</v>
      </c>
      <c r="F19" s="11" t="n">
        <v>2.9</v>
      </c>
    </row>
    <row r="22">
      <c r="A22" s="3" t="inlineStr">
        <is>
          <t>VARIABLE IMPACT ON NPV (TORNADO ANALYSIS)</t>
        </is>
      </c>
    </row>
    <row r="24">
      <c r="A24" s="6" t="inlineStr">
        <is>
          <t>Variable</t>
        </is>
      </c>
      <c r="B24" s="6" t="inlineStr">
        <is>
          <t>-20% Impact</t>
        </is>
      </c>
      <c r="C24" s="6" t="inlineStr">
        <is>
          <t>Base NPV</t>
        </is>
      </c>
      <c r="D24" s="6" t="inlineStr">
        <is>
          <t>+20% Impact</t>
        </is>
      </c>
      <c r="E24" s="6" t="inlineStr">
        <is>
          <t>Sensitivity</t>
        </is>
      </c>
    </row>
    <row r="25">
      <c r="A25" s="7" t="inlineStr">
        <is>
          <t>Win Rate</t>
        </is>
      </c>
      <c r="B25" s="8" t="n">
        <v>335.8</v>
      </c>
      <c r="C25" s="8" t="n">
        <v>419.8</v>
      </c>
      <c r="D25" s="8" t="n">
        <v>503.8</v>
      </c>
      <c r="E25" s="7" t="inlineStr">
        <is>
          <t>High</t>
        </is>
      </c>
    </row>
    <row r="26">
      <c r="A26" s="7" t="inlineStr">
        <is>
          <t>Average Project Value</t>
        </is>
      </c>
      <c r="B26" s="8" t="n">
        <v>351.8</v>
      </c>
      <c r="C26" s="8" t="n">
        <v>419.8</v>
      </c>
      <c r="D26" s="8" t="n">
        <v>487.8</v>
      </c>
      <c r="E26" s="7" t="inlineStr">
        <is>
          <t>High</t>
        </is>
      </c>
    </row>
    <row r="27">
      <c r="A27" s="7" t="inlineStr">
        <is>
          <t>Conversion Rate</t>
        </is>
      </c>
      <c r="B27" s="8" t="n">
        <v>369.8</v>
      </c>
      <c r="C27" s="8" t="n">
        <v>419.8</v>
      </c>
      <c r="D27" s="8" t="n">
        <v>469.8</v>
      </c>
      <c r="E27" s="7" t="inlineStr">
        <is>
          <t>Medium</t>
        </is>
      </c>
    </row>
    <row r="28">
      <c r="A28" s="7" t="inlineStr">
        <is>
          <t>Labor Cost Savings</t>
        </is>
      </c>
      <c r="B28" s="8" t="n">
        <v>387.8</v>
      </c>
      <c r="C28" s="8" t="n">
        <v>419.8</v>
      </c>
      <c r="D28" s="8" t="n">
        <v>451.8</v>
      </c>
      <c r="E28" s="7" t="inlineStr">
        <is>
          <t>Medium</t>
        </is>
      </c>
    </row>
    <row r="29">
      <c r="A29" s="7" t="inlineStr">
        <is>
          <t>Discount Rate</t>
        </is>
      </c>
      <c r="B29" s="8" t="n">
        <v>450.1</v>
      </c>
      <c r="C29" s="8" t="n">
        <v>419.8</v>
      </c>
      <c r="D29" s="8" t="n">
        <v>393.2</v>
      </c>
      <c r="E29" s="7" t="inlineStr">
        <is>
          <t>Medium</t>
        </is>
      </c>
    </row>
    <row r="30">
      <c r="A30" s="7" t="inlineStr">
        <is>
          <t>Implementation Timeline</t>
        </is>
      </c>
      <c r="B30" s="8" t="n">
        <v>403.8</v>
      </c>
      <c r="C30" s="8" t="n">
        <v>419.8</v>
      </c>
      <c r="D30" s="8" t="n">
        <v>435.8</v>
      </c>
      <c r="E30" s="7" t="inlineStr">
        <is>
          <t>Low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2026-01-19T15:08:45Z</dcterms:created>
  <dcterms:modified xmlns:dcterms="http://purl.org/dc/terms/" xmlns:xsi="http://www.w3.org/2001/XMLSchema-instance" xsi:type="dcterms:W3CDTF">2026-01-19T15:08:45Z</dcterms:modified>
</cp:coreProperties>
</file>