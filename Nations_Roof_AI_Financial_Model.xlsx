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Baseline" sheetId="2" state="visible" r:id="rId2"/>
    <sheet xmlns:r="http://schemas.openxmlformats.org/officeDocument/2006/relationships" name="Platform 0" sheetId="3" state="visible" r:id="rId3"/>
    <sheet xmlns:r="http://schemas.openxmlformats.org/officeDocument/2006/relationships" name="Platform 1" sheetId="4" state="visible" r:id="rId4"/>
    <sheet xmlns:r="http://schemas.openxmlformats.org/officeDocument/2006/relationships" name="Platform 2" sheetId="5" state="visible" r:id="rId5"/>
    <sheet xmlns:r="http://schemas.openxmlformats.org/officeDocument/2006/relationships" name="Platform 3" sheetId="6" state="visible" r:id="rId6"/>
    <sheet xmlns:r="http://schemas.openxmlformats.org/officeDocument/2006/relationships" name="Platform 4" sheetId="7" state="visible" r:id="rId7"/>
    <sheet xmlns:r="http://schemas.openxmlformats.org/officeDocument/2006/relationships" name="Consolidated" sheetId="8" state="visible" r:id="rId8"/>
    <sheet xmlns:r="http://schemas.openxmlformats.org/officeDocument/2006/relationships" name="Scenario Builder" sheetId="9" state="visible" r:id="rId9"/>
    <sheet xmlns:r="http://schemas.openxmlformats.org/officeDocument/2006/relationships" name="Sensitivity Analysi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(&quot;$&quot;* #,##0_);_(&quot;$&quot;* (#,##0);_(&quot;$&quot;* &quot;-&quot;??_);_(@_)"/>
    <numFmt numFmtId="165" formatCode="0.0%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4E79"/>
      <sz val="18"/>
    </font>
    <font>
      <i val="1"/>
      <sz val="12"/>
    </font>
    <font>
      <b val="1"/>
      <color rgb="001F4E79"/>
      <sz val="12"/>
    </font>
    <font>
      <b val="1"/>
    </font>
    <font>
      <b val="1"/>
      <color rgb="00FFFFFF"/>
      <sz val="12"/>
    </font>
    <font>
      <i val="1"/>
      <color rgb="00666666"/>
    </font>
    <font>
      <b val="1"/>
      <color rgb="00FFFFFF"/>
      <sz val="16"/>
    </font>
    <font>
      <i val="1"/>
      <sz val="10"/>
    </font>
    <font>
      <i val="1"/>
    </font>
  </fonts>
  <fills count="11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F4E79"/>
        <bgColor rgb="001F4E79"/>
      </patternFill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607D8B"/>
        <bgColor rgb="00607D8B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0" fillId="2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0" borderId="0" pivotButton="0" quotePrefix="0" xfId="0"/>
    <xf numFmtId="164" fontId="0" fillId="2" borderId="1" applyAlignment="1" pivotButton="0" quotePrefix="0" xfId="0">
      <alignment horizontal="right"/>
    </xf>
    <xf numFmtId="0" fontId="6" fillId="0" borderId="0" pivotButton="0" quotePrefix="0" xfId="0"/>
    <xf numFmtId="165" fontId="0" fillId="2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3" fontId="0" fillId="2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7" fillId="5" borderId="0" pivotButton="0" quotePrefix="0" xfId="0"/>
    <xf numFmtId="0" fontId="2" fillId="0" borderId="0" pivotButton="0" quotePrefix="0" xfId="0"/>
    <xf numFmtId="0" fontId="8" fillId="0" borderId="0" pivotButton="0" quotePrefix="0" xfId="0"/>
    <xf numFmtId="3" fontId="0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6" fontId="0" fillId="3" borderId="1" applyAlignment="1" pivotButton="0" quotePrefix="0" xfId="0">
      <alignment horizontal="right"/>
    </xf>
    <xf numFmtId="0" fontId="7" fillId="6" borderId="0" pivotButton="0" quotePrefix="0" xfId="0"/>
    <xf numFmtId="166" fontId="0" fillId="2" borderId="1" applyAlignment="1" pivotButton="0" quotePrefix="0" xfId="0">
      <alignment horizontal="right"/>
    </xf>
    <xf numFmtId="0" fontId="7" fillId="7" borderId="0" pivotButton="0" quotePrefix="0" xfId="0"/>
    <xf numFmtId="2" fontId="0" fillId="2" borderId="1" applyAlignment="1" pivotButton="0" quotePrefix="0" xfId="0">
      <alignment horizontal="right"/>
    </xf>
    <xf numFmtId="0" fontId="7" fillId="8" borderId="0" pivotButton="0" quotePrefix="0" xfId="0"/>
    <xf numFmtId="164" fontId="4" fillId="2" borderId="1" applyAlignment="1" pivotButton="0" quotePrefix="0" xfId="0">
      <alignment horizontal="right"/>
    </xf>
    <xf numFmtId="0" fontId="7" fillId="9" borderId="0" pivotButton="0" quotePrefix="0" xfId="0"/>
    <xf numFmtId="164" fontId="4" fillId="0" borderId="1" pivotButton="0" quotePrefix="0" xfId="0"/>
    <xf numFmtId="0" fontId="9" fillId="0" borderId="0" pivotButton="0" quotePrefix="0" xfId="0"/>
    <xf numFmtId="0" fontId="0" fillId="10" borderId="0" pivotButton="0" quotePrefix="0" xfId="0"/>
    <xf numFmtId="3" fontId="0" fillId="10" borderId="1" applyAlignment="1" pivotButton="0" quotePrefix="0" xfId="0">
      <alignment horizontal="right"/>
    </xf>
    <xf numFmtId="164" fontId="0" fillId="10" borderId="1" applyAlignment="1" pivotButton="0" quotePrefix="0" xfId="0">
      <alignment horizontal="right"/>
    </xf>
    <xf numFmtId="3" fontId="0" fillId="0" borderId="0" pivotButton="0" quotePrefix="0" xfId="0"/>
    <xf numFmtId="3" fontId="0" fillId="10" borderId="0" pivotButton="0" quotePrefix="0" xfId="0"/>
    <xf numFmtId="165" fontId="0" fillId="0" borderId="0" pivotButton="0" quotePrefix="0" xfId="0"/>
    <xf numFmtId="165" fontId="0" fillId="10" borderId="0" pivotButton="0" quotePrefix="0" xfId="0"/>
    <xf numFmtId="164" fontId="0" fillId="0" borderId="0" pivotButton="0" quotePrefix="0" xfId="0"/>
    <xf numFmtId="164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NATIONS ROOF AI FINANCIAL MODEL</t>
        </is>
      </c>
    </row>
    <row r="2">
      <c r="A2" s="2" t="inlineStr">
        <is>
          <t>Interactive Financial Analysis Tool for Executive Decision Making</t>
        </is>
      </c>
    </row>
    <row r="4">
      <c r="A4" s="3" t="inlineStr">
        <is>
          <t>HOW TO USE THIS WORKBOOK</t>
        </is>
      </c>
    </row>
    <row r="6">
      <c r="A6" s="4" t="inlineStr">
        <is>
          <t>1. Review Company Baseline</t>
        </is>
      </c>
      <c r="B6" t="inlineStr">
        <is>
          <t>Start with the 'Company Baseline' sheet to understand current state metrics</t>
        </is>
      </c>
    </row>
    <row r="7">
      <c r="A7" s="4" t="inlineStr">
        <is>
          <t>2. Explore Platform Details</t>
        </is>
      </c>
      <c r="B7" t="inlineStr">
        <is>
          <t>Each platform (P0-P4) has its own sheet with detailed calculations</t>
        </is>
      </c>
    </row>
    <row r="8">
      <c r="A8" s="4" t="inlineStr">
        <is>
          <t>3. Modify Input Values</t>
        </is>
      </c>
      <c r="B8" t="inlineStr">
        <is>
          <t>Yellow cells are INPUTS - change these to see how results update</t>
        </is>
      </c>
    </row>
    <row r="9">
      <c r="A9" s="4" t="inlineStr">
        <is>
          <t>4. View Calculated Results</t>
        </is>
      </c>
      <c r="B9" t="inlineStr">
        <is>
          <t>Green cells are OUTPUTS - these update automatically based on inputs</t>
        </is>
      </c>
    </row>
    <row r="10">
      <c r="A10" s="4" t="inlineStr">
        <is>
          <t>5. Use Scenario Builder</t>
        </is>
      </c>
      <c r="B10" t="inlineStr">
        <is>
          <t>Create custom scenarios and compare against the base case</t>
        </is>
      </c>
    </row>
    <row r="11">
      <c r="A11" s="4" t="inlineStr">
        <is>
          <t>6. Run Sensitivity Analysis</t>
        </is>
      </c>
      <c r="B11" t="inlineStr">
        <is>
          <t>See how changes in key variables affect total benefits</t>
        </is>
      </c>
    </row>
    <row r="12">
      <c r="A12" s="4" t="inlineStr">
        <is>
          <t>7. Review Consolidated View</t>
        </is>
      </c>
      <c r="B12" t="inlineStr">
        <is>
          <t>The 'Consolidated' sheet shows the complete financial picture</t>
        </is>
      </c>
    </row>
    <row r="15">
      <c r="A15" s="3" t="inlineStr">
        <is>
          <t>COLOR LEGEND</t>
        </is>
      </c>
    </row>
    <row r="16">
      <c r="A16" t="inlineStr">
        <is>
          <t>Input Cell (Modifiable)</t>
        </is>
      </c>
      <c r="B16" s="5" t="inlineStr">
        <is>
          <t>Example</t>
        </is>
      </c>
    </row>
    <row r="17">
      <c r="A17" t="inlineStr">
        <is>
          <t>Output Cell (Calculated)</t>
        </is>
      </c>
      <c r="B17" s="6" t="inlineStr">
        <is>
          <t>Example</t>
        </is>
      </c>
    </row>
    <row r="19">
      <c r="A19" s="3" t="inlineStr">
        <is>
          <t>SHEET OVERVIEW</t>
        </is>
      </c>
    </row>
    <row r="20">
      <c r="A20" s="7" t="inlineStr">
        <is>
          <t>Sheet Name</t>
        </is>
      </c>
      <c r="B20" s="7" t="inlineStr">
        <is>
          <t>Description</t>
        </is>
      </c>
    </row>
    <row r="21">
      <c r="A21" s="8" t="inlineStr">
        <is>
          <t>Company Baseline</t>
        </is>
      </c>
      <c r="B21" s="8" t="inlineStr">
        <is>
          <t>Current state financial and operational metrics</t>
        </is>
      </c>
    </row>
    <row r="22">
      <c r="A22" s="8" t="inlineStr">
        <is>
          <t>Platform 0</t>
        </is>
      </c>
      <c r="B22" s="8" t="inlineStr">
        <is>
          <t>AI Market Expansion Engine - Lead generation and sales acceleration</t>
        </is>
      </c>
    </row>
    <row r="23">
      <c r="A23" s="8" t="inlineStr">
        <is>
          <t>Platform 1</t>
        </is>
      </c>
      <c r="B23" s="8" t="inlineStr">
        <is>
          <t>AI Sales Intelligence - Bid selection and competitive analysis</t>
        </is>
      </c>
    </row>
    <row r="24">
      <c r="A24" s="8" t="inlineStr">
        <is>
          <t>Platform 2</t>
        </is>
      </c>
      <c r="B24" s="8" t="inlineStr">
        <is>
          <t>AI Estimation Suite - Proposal creation and specification analysis</t>
        </is>
      </c>
    </row>
    <row r="25">
      <c r="A25" s="8" t="inlineStr">
        <is>
          <t>Platform 3</t>
        </is>
      </c>
      <c r="B25" s="8" t="inlineStr">
        <is>
          <t>AI Project Management - Project delivery and customer experience</t>
        </is>
      </c>
    </row>
    <row r="26">
      <c r="A26" s="8" t="inlineStr">
        <is>
          <t>Platform 4</t>
        </is>
      </c>
      <c r="B26" s="8" t="inlineStr">
        <is>
          <t>AI Knowledge Management - Foundation layer with RBAC</t>
        </is>
      </c>
    </row>
    <row r="27">
      <c r="A27" s="8" t="inlineStr">
        <is>
          <t>Consolidated</t>
        </is>
      </c>
      <c r="B27" s="8" t="inlineStr">
        <is>
          <t>Complete financial summary across all platforms</t>
        </is>
      </c>
    </row>
    <row r="28">
      <c r="A28" s="8" t="inlineStr">
        <is>
          <t>Scenario Builder</t>
        </is>
      </c>
      <c r="B28" s="8" t="inlineStr">
        <is>
          <t>Create and compare custom scenarios</t>
        </is>
      </c>
    </row>
    <row r="29">
      <c r="A29" s="8" t="inlineStr">
        <is>
          <t>Sensitivity Analysis</t>
        </is>
      </c>
      <c r="B29" s="8" t="inlineStr">
        <is>
          <t>Analyze impact of variable changes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5" customWidth="1" min="4" max="4"/>
  </cols>
  <sheetData>
    <row r="1">
      <c r="A1" s="9" t="inlineStr">
        <is>
          <t>COMPANY BASELINE - CURRENT STATE</t>
        </is>
      </c>
    </row>
    <row r="3">
      <c r="A3" s="3" t="inlineStr">
        <is>
          <t>FINANCIAL METRICS</t>
        </is>
      </c>
    </row>
    <row r="4">
      <c r="A4" s="7" t="inlineStr">
        <is>
          <t>Metric</t>
        </is>
      </c>
      <c r="B4" s="7" t="inlineStr">
        <is>
          <t>Value</t>
        </is>
      </c>
      <c r="C4" s="7" t="inlineStr">
        <is>
          <t>Unit</t>
        </is>
      </c>
      <c r="D4" s="7" t="inlineStr">
        <is>
          <t>Notes</t>
        </is>
      </c>
    </row>
    <row r="5">
      <c r="A5" t="inlineStr">
        <is>
          <t>Annual Revenue</t>
        </is>
      </c>
      <c r="B5" s="10" t="n">
        <v>527000000</v>
      </c>
      <c r="C5" t="inlineStr">
        <is>
          <t>USD</t>
        </is>
      </c>
      <c r="D5" s="11" t="inlineStr">
        <is>
          <t>FY2024 total revenue</t>
        </is>
      </c>
    </row>
    <row r="6">
      <c r="A6" t="inlineStr">
        <is>
          <t>Gross Margin</t>
        </is>
      </c>
      <c r="B6" s="12" t="n">
        <v>0.35</v>
      </c>
      <c r="C6" t="inlineStr">
        <is>
          <t>%</t>
        </is>
      </c>
      <c r="D6" s="11" t="inlineStr">
        <is>
          <t>35% gross margin</t>
        </is>
      </c>
    </row>
    <row r="7">
      <c r="A7" t="inlineStr">
        <is>
          <t>Net Margin</t>
        </is>
      </c>
      <c r="B7" s="12" t="n">
        <v>0.07000000000000001</v>
      </c>
      <c r="C7" t="inlineStr">
        <is>
          <t>%</t>
        </is>
      </c>
      <c r="D7" s="11" t="inlineStr">
        <is>
          <t>7% net margin</t>
        </is>
      </c>
    </row>
    <row r="8">
      <c r="A8" t="inlineStr">
        <is>
          <t>Gross Profit</t>
        </is>
      </c>
      <c r="B8" s="13">
        <f>B5*B6</f>
        <v/>
      </c>
      <c r="C8" t="inlineStr">
        <is>
          <t>USD</t>
        </is>
      </c>
      <c r="D8" s="11" t="inlineStr">
        <is>
          <t>Calculated: Revenue × Gross Margin</t>
        </is>
      </c>
    </row>
    <row r="9">
      <c r="A9" t="inlineStr">
        <is>
          <t>Net Income</t>
        </is>
      </c>
      <c r="B9" s="13">
        <f>B5*B7</f>
        <v/>
      </c>
      <c r="C9" t="inlineStr">
        <is>
          <t>USD</t>
        </is>
      </c>
      <c r="D9" s="11" t="inlineStr">
        <is>
          <t>Calculated: Revenue × Net Margin</t>
        </is>
      </c>
    </row>
    <row r="11">
      <c r="A11" s="3" t="inlineStr">
        <is>
          <t>OPERATIONAL METRICS</t>
        </is>
      </c>
    </row>
    <row r="12">
      <c r="A12" s="7" t="inlineStr">
        <is>
          <t>Metric</t>
        </is>
      </c>
      <c r="B12" s="7" t="inlineStr">
        <is>
          <t>Value</t>
        </is>
      </c>
      <c r="C12" s="7" t="inlineStr">
        <is>
          <t>Unit</t>
        </is>
      </c>
      <c r="D12" s="7" t="inlineStr">
        <is>
          <t>Notes</t>
        </is>
      </c>
    </row>
    <row r="13">
      <c r="A13" t="inlineStr">
        <is>
          <t>Annual Projects Completed</t>
        </is>
      </c>
      <c r="B13" s="14" t="n">
        <v>2100</v>
      </c>
      <c r="C13" t="inlineStr">
        <is>
          <t>#</t>
        </is>
      </c>
      <c r="D13" s="11" t="inlineStr">
        <is>
          <t>Projects delivered per year</t>
        </is>
      </c>
    </row>
    <row r="14">
      <c r="A14" t="inlineStr">
        <is>
          <t>Annual Bids Submitted</t>
        </is>
      </c>
      <c r="B14" s="14" t="n">
        <v>11700</v>
      </c>
      <c r="C14" t="inlineStr">
        <is>
          <t>#</t>
        </is>
      </c>
      <c r="D14" s="11" t="inlineStr">
        <is>
          <t>Total bids submitted per year</t>
        </is>
      </c>
    </row>
    <row r="15">
      <c r="A15" t="inlineStr">
        <is>
          <t>Current Win Rate</t>
        </is>
      </c>
      <c r="B15" s="15">
        <f>B13/B14</f>
        <v/>
      </c>
      <c r="C15" t="inlineStr">
        <is>
          <t>%</t>
        </is>
      </c>
      <c r="D15" s="11" t="inlineStr">
        <is>
          <t>Calculated: Projects / Bids</t>
        </is>
      </c>
    </row>
    <row r="16">
      <c r="A16" t="inlineStr">
        <is>
          <t>Average Project Value</t>
        </is>
      </c>
      <c r="B16" s="10" t="n">
        <v>250000</v>
      </c>
      <c r="C16" t="inlineStr">
        <is>
          <t>USD</t>
        </is>
      </c>
      <c r="D16" s="11" t="inlineStr">
        <is>
          <t>Average commercial roofing project</t>
        </is>
      </c>
    </row>
    <row r="17">
      <c r="A17" t="inlineStr">
        <is>
          <t>Typical Project Duration</t>
        </is>
      </c>
      <c r="B17" s="14" t="n">
        <v>45</v>
      </c>
      <c r="C17" t="inlineStr">
        <is>
          <t>days</t>
        </is>
      </c>
      <c r="D17" s="11" t="inlineStr">
        <is>
          <t>Average project timeline</t>
        </is>
      </c>
    </row>
    <row r="19">
      <c r="A19" s="3" t="inlineStr">
        <is>
          <t>LEAD GENERATION METRICS</t>
        </is>
      </c>
    </row>
    <row r="20">
      <c r="A20" s="7" t="inlineStr">
        <is>
          <t>Metric</t>
        </is>
      </c>
      <c r="B20" s="7" t="inlineStr">
        <is>
          <t>Value</t>
        </is>
      </c>
      <c r="C20" s="7" t="inlineStr">
        <is>
          <t>Unit</t>
        </is>
      </c>
      <c r="D20" s="7" t="inlineStr">
        <is>
          <t>Notes</t>
        </is>
      </c>
    </row>
    <row r="21">
      <c r="A21" t="inlineStr">
        <is>
          <t>Current Annual Leads</t>
        </is>
      </c>
      <c r="B21" s="14" t="n">
        <v>2400</v>
      </c>
      <c r="C21" t="inlineStr">
        <is>
          <t>#</t>
        </is>
      </c>
      <c r="D21" s="11" t="inlineStr">
        <is>
          <t>Current lead volume</t>
        </is>
      </c>
    </row>
    <row r="22">
      <c r="A22" t="inlineStr">
        <is>
          <t>Current Cost Per Lead</t>
        </is>
      </c>
      <c r="B22" s="10" t="n">
        <v>350</v>
      </c>
      <c r="C22" t="inlineStr">
        <is>
          <t>USD</t>
        </is>
      </c>
      <c r="D22" s="11" t="inlineStr">
        <is>
          <t>Current CPL</t>
        </is>
      </c>
    </row>
    <row r="23">
      <c r="A23" t="inlineStr">
        <is>
          <t>Current Lead Spend</t>
        </is>
      </c>
      <c r="B23" s="13">
        <f>B21*B22</f>
        <v/>
      </c>
      <c r="C23" t="inlineStr">
        <is>
          <t>USD</t>
        </is>
      </c>
      <c r="D23" s="11" t="inlineStr">
        <is>
          <t>Calculated: Leads × CPL</t>
        </is>
      </c>
    </row>
    <row r="24">
      <c r="A24" t="inlineStr">
        <is>
          <t>Lead-to-Project Conversion</t>
        </is>
      </c>
      <c r="B24" s="15">
        <f>B13/B21</f>
        <v/>
      </c>
      <c r="C24" t="inlineStr">
        <is>
          <t>%</t>
        </is>
      </c>
      <c r="D24" s="11" t="inlineStr">
        <is>
          <t>Calculated: Projects / Leads</t>
        </is>
      </c>
    </row>
    <row r="26">
      <c r="A26" s="3" t="inlineStr">
        <is>
          <t>WORKFORCE METRICS</t>
        </is>
      </c>
    </row>
    <row r="27">
      <c r="A27" s="7" t="inlineStr">
        <is>
          <t>Metric</t>
        </is>
      </c>
      <c r="B27" s="7" t="inlineStr">
        <is>
          <t>Value</t>
        </is>
      </c>
      <c r="C27" s="7" t="inlineStr">
        <is>
          <t>Unit</t>
        </is>
      </c>
      <c r="D27" s="7" t="inlineStr">
        <is>
          <t>Notes</t>
        </is>
      </c>
    </row>
    <row r="28">
      <c r="A28" t="inlineStr">
        <is>
          <t>Estimators</t>
        </is>
      </c>
      <c r="B28" s="14" t="n">
        <v>25</v>
      </c>
      <c r="C28" t="inlineStr">
        <is>
          <t>#</t>
        </is>
      </c>
      <c r="D28" s="11" t="inlineStr">
        <is>
          <t>Full-time estimating staff</t>
        </is>
      </c>
    </row>
    <row r="29">
      <c r="A29" t="inlineStr">
        <is>
          <t>Project Managers</t>
        </is>
      </c>
      <c r="B29" s="14" t="n">
        <v>45</v>
      </c>
      <c r="C29" t="inlineStr">
        <is>
          <t>#</t>
        </is>
      </c>
      <c r="D29" s="11" t="inlineStr">
        <is>
          <t>Full-time PM staff</t>
        </is>
      </c>
    </row>
    <row r="30">
      <c r="A30" t="inlineStr">
        <is>
          <t>Sales Representatives</t>
        </is>
      </c>
      <c r="B30" s="14" t="n">
        <v>30</v>
      </c>
      <c r="C30" t="inlineStr">
        <is>
          <t>#</t>
        </is>
      </c>
      <c r="D30" s="11" t="inlineStr">
        <is>
          <t>Full-time sales staff</t>
        </is>
      </c>
    </row>
    <row r="31">
      <c r="A31" t="inlineStr">
        <is>
          <t>Average Hourly Cost (Loaded)</t>
        </is>
      </c>
      <c r="B31" s="10" t="n">
        <v>75</v>
      </c>
      <c r="C31" t="inlineStr">
        <is>
          <t>USD/hr</t>
        </is>
      </c>
      <c r="D31" s="11" t="inlineStr">
        <is>
          <t>Fully loaded labor cost</t>
        </is>
      </c>
    </row>
    <row r="32">
      <c r="A32" t="inlineStr">
        <is>
          <t>Working Hours Per Year</t>
        </is>
      </c>
      <c r="B32" s="14" t="n">
        <v>2080</v>
      </c>
      <c r="C32" t="inlineStr">
        <is>
          <t>hrs</t>
        </is>
      </c>
      <c r="D32" s="11" t="inlineStr">
        <is>
          <t>Standard work hours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18" customWidth="1" min="3" max="3"/>
    <col width="12" customWidth="1" min="4" max="4"/>
    <col width="20" customWidth="1" min="5" max="5"/>
  </cols>
  <sheetData>
    <row r="1">
      <c r="A1" s="16" t="inlineStr">
        <is>
          <t>PLATFORM 0: AI MARKET EXPANSION ENGINE</t>
        </is>
      </c>
    </row>
    <row r="2">
      <c r="A2" s="17" t="inlineStr">
        <is>
          <t>Autonomous Agent Swarm for Lead Generation and Sales Acceleration</t>
        </is>
      </c>
    </row>
    <row r="4">
      <c r="A4" s="3" t="inlineStr">
        <is>
          <t>INPUT PARAMETERS</t>
        </is>
      </c>
    </row>
    <row r="5">
      <c r="A5" s="7" t="inlineStr">
        <is>
          <t>Parameter</t>
        </is>
      </c>
      <c r="B5" s="7" t="inlineStr">
        <is>
          <t>Value</t>
        </is>
      </c>
      <c r="C5" s="7" t="inlineStr">
        <is>
          <t>Unit</t>
        </is>
      </c>
      <c r="D5" s="7" t="inlineStr">
        <is>
          <t>Description</t>
        </is>
      </c>
      <c r="E5" s="7" t="inlineStr">
        <is>
          <t>Source</t>
        </is>
      </c>
    </row>
    <row r="6">
      <c r="A6" t="inlineStr">
        <is>
          <t>Annual Leads Generated</t>
        </is>
      </c>
      <c r="B6" s="14" t="n">
        <v>10000</v>
      </c>
      <c r="C6" t="inlineStr">
        <is>
          <t>#</t>
        </is>
      </c>
      <c r="D6" s="11" t="inlineStr">
        <is>
          <t>Target leads from AI agent swarm</t>
        </is>
      </c>
      <c r="E6" s="11" t="inlineStr">
        <is>
          <t>AI Platform Target</t>
        </is>
      </c>
    </row>
    <row r="7">
      <c r="A7" t="inlineStr">
        <is>
          <t>Lead-to-Meeting Conversion Rate</t>
        </is>
      </c>
      <c r="B7" s="12" t="n">
        <v>0.12</v>
      </c>
      <c r="C7" t="inlineStr">
        <is>
          <t>%</t>
        </is>
      </c>
      <c r="D7" s="11" t="inlineStr">
        <is>
          <t>12% conversion rate (industry: 5-15%)</t>
        </is>
      </c>
      <c r="E7" s="11" t="inlineStr">
        <is>
          <t>Industry Benchmark</t>
        </is>
      </c>
    </row>
    <row r="8">
      <c r="A8" t="inlineStr">
        <is>
          <t>Meeting-to-Close Rate</t>
        </is>
      </c>
      <c r="B8" s="12" t="n">
        <v>0.2</v>
      </c>
      <c r="C8" t="inlineStr">
        <is>
          <t>%</t>
        </is>
      </c>
      <c r="D8" s="11" t="inlineStr">
        <is>
          <t>20% close rate</t>
        </is>
      </c>
      <c r="E8" s="11" t="inlineStr">
        <is>
          <t>Historical Data</t>
        </is>
      </c>
    </row>
    <row r="9">
      <c r="A9" t="inlineStr">
        <is>
          <t>Target Cost Per Lead</t>
        </is>
      </c>
      <c r="B9" s="10" t="n">
        <v>120</v>
      </c>
      <c r="C9" t="inlineStr">
        <is>
          <t>USD</t>
        </is>
      </c>
      <c r="D9" s="11" t="inlineStr">
        <is>
          <t>Reduced from $350 to $120</t>
        </is>
      </c>
      <c r="E9" s="11" t="inlineStr">
        <is>
          <t>Platform Design</t>
        </is>
      </c>
    </row>
    <row r="10">
      <c r="A10" t="inlineStr">
        <is>
          <t>Maintenance Plan Attach Rate</t>
        </is>
      </c>
      <c r="B10" s="12" t="n">
        <v>0.25</v>
      </c>
      <c r="C10" t="inlineStr">
        <is>
          <t>%</t>
        </is>
      </c>
      <c r="D10" s="11" t="inlineStr">
        <is>
          <t>25% attach rate for maintenance plans</t>
        </is>
      </c>
      <c r="E10" s="11" t="inlineStr">
        <is>
          <t>Historical Data</t>
        </is>
      </c>
    </row>
    <row r="11">
      <c r="A11" t="inlineStr">
        <is>
          <t>Maintenance Plan Annual Value</t>
        </is>
      </c>
      <c r="B11" s="10" t="n">
        <v>25000</v>
      </c>
      <c r="C11" t="inlineStr">
        <is>
          <t>USD</t>
        </is>
      </c>
      <c r="D11" s="11" t="inlineStr">
        <is>
          <t>Average annual maintenance contract</t>
        </is>
      </c>
      <c r="E11" s="11" t="inlineStr">
        <is>
          <t>Historical Data</t>
        </is>
      </c>
    </row>
    <row r="12">
      <c r="A12" t="inlineStr">
        <is>
          <t>Sales Cycle Reduction</t>
        </is>
      </c>
      <c r="B12" s="14" t="n">
        <v>14</v>
      </c>
      <c r="C12" t="inlineStr">
        <is>
          <t>days</t>
        </is>
      </c>
      <c r="D12" s="11" t="inlineStr">
        <is>
          <t>Days reduced from sales cycle</t>
        </is>
      </c>
      <c r="E12" s="11" t="inlineStr">
        <is>
          <t>Platform Design</t>
        </is>
      </c>
    </row>
    <row r="13">
      <c r="A13" t="inlineStr">
        <is>
          <t>Daily Revenue per Project</t>
        </is>
      </c>
      <c r="B13" s="10" t="n">
        <v>5556</v>
      </c>
      <c r="C13" t="inlineStr">
        <is>
          <t>USD</t>
        </is>
      </c>
      <c r="D13" s="11" t="inlineStr">
        <is>
          <t>Avg project value / avg duration</t>
        </is>
      </c>
      <c r="E13" s="11" t="inlineStr">
        <is>
          <t>Calculated</t>
        </is>
      </c>
    </row>
    <row r="14">
      <c r="A14" t="inlineStr">
        <is>
          <t>Platform Development Investment</t>
        </is>
      </c>
      <c r="B14" s="10" t="n">
        <v>1200000</v>
      </c>
      <c r="C14" t="inlineStr">
        <is>
          <t>USD</t>
        </is>
      </c>
      <c r="D14" s="11" t="inlineStr">
        <is>
          <t>One-time development cost</t>
        </is>
      </c>
      <c r="E14" s="11" t="inlineStr">
        <is>
          <t>Budget</t>
        </is>
      </c>
    </row>
    <row r="15">
      <c r="A15" t="inlineStr">
        <is>
          <t>Annual Data Subscription Costs</t>
        </is>
      </c>
      <c r="B15" s="10" t="n">
        <v>410000</v>
      </c>
      <c r="C15" t="inlineStr">
        <is>
          <t>USD</t>
        </is>
      </c>
      <c r="D15" s="11" t="inlineStr">
        <is>
          <t>Annual data costs</t>
        </is>
      </c>
      <c r="E15" s="11" t="inlineStr">
        <is>
          <t>Vendor Quotes</t>
        </is>
      </c>
    </row>
    <row r="17">
      <c r="A17" s="3" t="inlineStr">
        <is>
          <t>CALCULATED KPIs</t>
        </is>
      </c>
    </row>
    <row r="18">
      <c r="A18" s="7" t="inlineStr">
        <is>
          <t>KPI</t>
        </is>
      </c>
      <c r="B18" s="7" t="inlineStr">
        <is>
          <t>Formula</t>
        </is>
      </c>
      <c r="C18" s="7" t="inlineStr">
        <is>
          <t>Result</t>
        </is>
      </c>
      <c r="D18" s="7" t="inlineStr">
        <is>
          <t>Unit</t>
        </is>
      </c>
    </row>
    <row r="19">
      <c r="A19" t="inlineStr">
        <is>
          <t>Qualified Meetings</t>
        </is>
      </c>
      <c r="B19" s="18">
        <f>B6*B7</f>
        <v/>
      </c>
      <c r="C19" s="19">
        <f>B6*B7</f>
        <v/>
      </c>
      <c r="D19" t="inlineStr">
        <is>
          <t>#</t>
        </is>
      </c>
    </row>
    <row r="20">
      <c r="A20" t="inlineStr">
        <is>
          <t>New Projects Won</t>
        </is>
      </c>
      <c r="B20" s="18">
        <f>B19*B8</f>
        <v/>
      </c>
      <c r="C20" s="19">
        <f>B19*B8</f>
        <v/>
      </c>
      <c r="D20" t="inlineStr">
        <is>
          <t>#</t>
        </is>
      </c>
    </row>
    <row r="21">
      <c r="A21" t="inlineStr">
        <is>
          <t>Gross Revenue from New Projects</t>
        </is>
      </c>
      <c r="B21" s="18">
        <f>B20*'Company Baseline'!B16</f>
        <v/>
      </c>
      <c r="C21" s="13">
        <f>B20*'Company Baseline'!B16</f>
        <v/>
      </c>
      <c r="D21" t="inlineStr">
        <is>
          <t>USD</t>
        </is>
      </c>
    </row>
    <row r="22">
      <c r="A22" t="inlineStr">
        <is>
          <t>Maintenance Plan Revenue</t>
        </is>
      </c>
      <c r="B22" s="18">
        <f>B20*B9*B10</f>
        <v/>
      </c>
      <c r="C22" s="13">
        <f>B20*B9*B10</f>
        <v/>
      </c>
      <c r="D22" t="inlineStr">
        <is>
          <t>USD</t>
        </is>
      </c>
    </row>
    <row r="23">
      <c r="A23" t="inlineStr">
        <is>
          <t>Cash Flow Acceleration</t>
        </is>
      </c>
      <c r="B23" s="18">
        <f>B20*B11*B12</f>
        <v/>
      </c>
      <c r="C23" s="13">
        <f>B20*B11*B12</f>
        <v/>
      </c>
      <c r="D23" t="inlineStr">
        <is>
          <t>USD</t>
        </is>
      </c>
    </row>
    <row r="25">
      <c r="A25" s="3" t="inlineStr">
        <is>
          <t>FINANCIAL IMPACT BREAKDOWN</t>
        </is>
      </c>
    </row>
    <row r="26">
      <c r="A26" s="7" t="inlineStr">
        <is>
          <t>Benefit Category</t>
        </is>
      </c>
      <c r="B26" s="7" t="inlineStr">
        <is>
          <t>Calculation</t>
        </is>
      </c>
      <c r="C26" s="7" t="inlineStr">
        <is>
          <t>Annual Value</t>
        </is>
      </c>
      <c r="D26" s="7" t="inlineStr">
        <is>
          <t>% of Total</t>
        </is>
      </c>
    </row>
    <row r="27">
      <c r="A27" t="inlineStr">
        <is>
          <t>Revenue Growth - New Projects</t>
        </is>
      </c>
      <c r="B27" s="11" t="inlineStr">
        <is>
          <t>50% of gross revenue (net margin)</t>
        </is>
      </c>
      <c r="C27" s="10" t="n">
        <v>30000000</v>
      </c>
      <c r="D27" s="15">
        <f>C27/$C$32</f>
        <v/>
      </c>
    </row>
    <row r="28">
      <c r="A28" t="inlineStr">
        <is>
          <t>Revenue Growth - Maintenance Plans</t>
        </is>
      </c>
      <c r="B28" s="11" t="inlineStr">
        <is>
          <t>Maintenance plan revenue</t>
        </is>
      </c>
      <c r="C28" s="10" t="n">
        <v>1500000</v>
      </c>
      <c r="D28" s="15">
        <f>C28/$C$32</f>
        <v/>
      </c>
    </row>
    <row r="29">
      <c r="A29" t="inlineStr">
        <is>
          <t>Cost Reduction - CPL Savings</t>
        </is>
      </c>
      <c r="B29" s="11" t="inlineStr">
        <is>
          <t>Lead cost savings vs baseline</t>
        </is>
      </c>
      <c r="C29" s="10" t="n">
        <v>2300000</v>
      </c>
      <c r="D29" s="15">
        <f>C29/$C$32</f>
        <v/>
      </c>
    </row>
    <row r="30">
      <c r="A30" t="inlineStr">
        <is>
          <t>Cash Flow - Sales Cycle Acceleration</t>
        </is>
      </c>
      <c r="B30" s="11" t="inlineStr">
        <is>
          <t>Earlier revenue recognition</t>
        </is>
      </c>
      <c r="C30" s="10" t="n">
        <v>700000</v>
      </c>
      <c r="D30" s="15">
        <f>C30/$C$32</f>
        <v/>
      </c>
    </row>
    <row r="31">
      <c r="A31" t="inlineStr">
        <is>
          <t>Risk Mitigation - Lead Diversification</t>
        </is>
      </c>
      <c r="B31" s="11" t="inlineStr">
        <is>
          <t>Reduced dependency risk</t>
        </is>
      </c>
      <c r="C31" s="10" t="n">
        <v>500000</v>
      </c>
      <c r="D31" s="15">
        <f>C31/$C$32</f>
        <v/>
      </c>
    </row>
    <row r="32">
      <c r="A32" s="4" t="inlineStr">
        <is>
          <t>TOTAL PLATFORM 0 BENEFIT</t>
        </is>
      </c>
      <c r="C32" s="20">
        <f>SUM(C27:C31)</f>
        <v/>
      </c>
      <c r="D32" s="4" t="inlineStr">
        <is>
          <t>100%</t>
        </is>
      </c>
    </row>
    <row r="34">
      <c r="A34" s="3" t="inlineStr">
        <is>
          <t>ROI ANALYSIS</t>
        </is>
      </c>
    </row>
    <row r="35">
      <c r="A35" s="7" t="inlineStr">
        <is>
          <t>Metric</t>
        </is>
      </c>
      <c r="B35" s="7" t="inlineStr">
        <is>
          <t>Formula</t>
        </is>
      </c>
      <c r="C35" s="7" t="inlineStr">
        <is>
          <t>Value</t>
        </is>
      </c>
    </row>
    <row r="36">
      <c r="A36" t="inlineStr">
        <is>
          <t>Total Year 1 Investment</t>
        </is>
      </c>
      <c r="B36" s="18">
        <f>B13+B14</f>
        <v/>
      </c>
      <c r="C36" s="13">
        <f>B13+B14</f>
        <v/>
      </c>
    </row>
    <row r="37">
      <c r="A37" t="inlineStr">
        <is>
          <t>Annual Benefit</t>
        </is>
      </c>
      <c r="B37" s="18">
        <f>C32</f>
        <v/>
      </c>
      <c r="C37" s="13">
        <f>C32</f>
        <v/>
      </c>
    </row>
    <row r="38">
      <c r="A38" t="inlineStr">
        <is>
          <t>Net Year 1 Benefit</t>
        </is>
      </c>
      <c r="B38" s="18">
        <f>C37-C36</f>
        <v/>
      </c>
      <c r="C38" s="13">
        <f>C37-C36</f>
        <v/>
      </c>
    </row>
    <row r="39">
      <c r="A39" t="inlineStr">
        <is>
          <t>Year 1 ROI</t>
        </is>
      </c>
      <c r="B39" s="18">
        <f>(C37-C36)/C36</f>
        <v/>
      </c>
      <c r="C39" s="15">
        <f>(C37-C36)/C36</f>
        <v/>
      </c>
    </row>
    <row r="40">
      <c r="A40" t="inlineStr">
        <is>
          <t>Payback Period (Months)</t>
        </is>
      </c>
      <c r="B40" s="18">
        <f>C36/C37*12</f>
        <v/>
      </c>
      <c r="C40" s="21">
        <f>C36/C37*12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2" customWidth="1" min="5" max="5"/>
  </cols>
  <sheetData>
    <row r="1">
      <c r="A1" s="22" t="inlineStr">
        <is>
          <t>PLATFORM 1: AI SALES INTELLIGENCE</t>
        </is>
      </c>
    </row>
    <row r="2">
      <c r="A2" s="17" t="inlineStr">
        <is>
          <t>Intelligent Bid Selection and Competitive Analysis</t>
        </is>
      </c>
    </row>
    <row r="4">
      <c r="A4" s="3" t="inlineStr">
        <is>
          <t>INPUT PARAMETERS</t>
        </is>
      </c>
    </row>
    <row r="5">
      <c r="A5" s="7" t="inlineStr">
        <is>
          <t>Parameter</t>
        </is>
      </c>
      <c r="B5" s="7" t="inlineStr">
        <is>
          <t>Value</t>
        </is>
      </c>
      <c r="C5" s="7" t="inlineStr">
        <is>
          <t>Unit</t>
        </is>
      </c>
      <c r="D5" s="7" t="inlineStr">
        <is>
          <t>Description</t>
        </is>
      </c>
    </row>
    <row r="6">
      <c r="A6" t="inlineStr">
        <is>
          <t>Win Rate Improvement</t>
        </is>
      </c>
      <c r="B6" s="14" t="n">
        <v>11</v>
      </c>
      <c r="C6" t="inlineStr">
        <is>
          <t>pts</t>
        </is>
      </c>
      <c r="D6" s="11" t="inlineStr">
        <is>
          <t>Percentage points improvement (22% → 33%)</t>
        </is>
      </c>
    </row>
    <row r="7">
      <c r="A7" t="inlineStr">
        <is>
          <t>Bid Evaluation Time - Baseline</t>
        </is>
      </c>
      <c r="B7" s="23" t="n">
        <v>3</v>
      </c>
      <c r="C7" t="inlineStr">
        <is>
          <t>hrs</t>
        </is>
      </c>
      <c r="D7" s="11" t="inlineStr">
        <is>
          <t>Current hours per bid evaluation</t>
        </is>
      </c>
    </row>
    <row r="8">
      <c r="A8" t="inlineStr">
        <is>
          <t>Bid Evaluation Time - Target</t>
        </is>
      </c>
      <c r="B8" s="23" t="n">
        <v>0.5</v>
      </c>
      <c r="C8" t="inlineStr">
        <is>
          <t>hrs</t>
        </is>
      </c>
      <c r="D8" s="11" t="inlineStr">
        <is>
          <t>Target hours with AI</t>
        </is>
      </c>
    </row>
    <row r="9">
      <c r="A9" t="inlineStr">
        <is>
          <t>Bid Assignment Attribution</t>
        </is>
      </c>
      <c r="B9" s="12" t="n">
        <v>0.55</v>
      </c>
      <c r="C9" t="inlineStr">
        <is>
          <t>%</t>
        </is>
      </c>
      <c r="D9" s="11" t="inlineStr">
        <is>
          <t>55% of win rate improvement</t>
        </is>
      </c>
    </row>
    <row r="10">
      <c r="A10" t="inlineStr">
        <is>
          <t>Competitor Analysis Attribution</t>
        </is>
      </c>
      <c r="B10" s="12" t="n">
        <v>0.27</v>
      </c>
      <c r="C10" t="inlineStr">
        <is>
          <t>%</t>
        </is>
      </c>
      <c r="D10" s="11" t="inlineStr">
        <is>
          <t>27% of win rate improvement</t>
        </is>
      </c>
    </row>
    <row r="11">
      <c r="A11" t="inlineStr">
        <is>
          <t>Competitor Scouting Attribution</t>
        </is>
      </c>
      <c r="B11" s="12" t="n">
        <v>0.09</v>
      </c>
      <c r="C11" t="inlineStr">
        <is>
          <t>%</t>
        </is>
      </c>
      <c r="D11" s="11" t="inlineStr">
        <is>
          <t>9% of win rate improvement</t>
        </is>
      </c>
    </row>
    <row r="12">
      <c r="A12" t="inlineStr">
        <is>
          <t>Edge Reviews Attribution (P2)</t>
        </is>
      </c>
      <c r="B12" s="12" t="n">
        <v>0.09</v>
      </c>
      <c r="C12" t="inlineStr">
        <is>
          <t>%</t>
        </is>
      </c>
      <c r="D12" s="11" t="inlineStr">
        <is>
          <t>9% from Platform 2</t>
        </is>
      </c>
    </row>
    <row r="14">
      <c r="A14" s="3" t="inlineStr">
        <is>
          <t>CALCULATED KPIs</t>
        </is>
      </c>
    </row>
    <row r="15">
      <c r="A15" s="7" t="inlineStr">
        <is>
          <t>KPI</t>
        </is>
      </c>
      <c r="B15" s="7" t="inlineStr">
        <is>
          <t>Formula</t>
        </is>
      </c>
      <c r="C15" s="7" t="inlineStr">
        <is>
          <t>Result</t>
        </is>
      </c>
      <c r="D15" s="7" t="inlineStr">
        <is>
          <t>Unit</t>
        </is>
      </c>
    </row>
    <row r="16">
      <c r="A16" t="inlineStr">
        <is>
          <t>Current Win Rate</t>
        </is>
      </c>
      <c r="B16" s="18" t="inlineStr">
        <is>
          <t>From Baseline</t>
        </is>
      </c>
      <c r="C16" s="15">
        <f>'Company Baseline'!B15</f>
        <v/>
      </c>
      <c r="D16" t="inlineStr">
        <is>
          <t>%</t>
        </is>
      </c>
    </row>
    <row r="17">
      <c r="A17" t="inlineStr">
        <is>
          <t>New Win Rate</t>
        </is>
      </c>
      <c r="B17" s="18" t="inlineStr">
        <is>
          <t>Current + Improvement</t>
        </is>
      </c>
      <c r="C17" s="15">
        <f>C16+B6/100</f>
        <v/>
      </c>
      <c r="D17" t="inlineStr">
        <is>
          <t>%</t>
        </is>
      </c>
    </row>
    <row r="18">
      <c r="A18" t="inlineStr">
        <is>
          <t>Additional Wins</t>
        </is>
      </c>
      <c r="B18" s="18" t="inlineStr">
        <is>
          <t>Bids × Improvement %</t>
        </is>
      </c>
      <c r="C18" s="19">
        <f>'Company Baseline'!B14*B6/100</f>
        <v/>
      </c>
      <c r="D18" t="inlineStr">
        <is>
          <t>#</t>
        </is>
      </c>
    </row>
    <row r="19">
      <c r="A19" t="inlineStr">
        <is>
          <t>Time Saved per Bid</t>
        </is>
      </c>
      <c r="B19" s="18" t="inlineStr">
        <is>
          <t>Baseline - Target</t>
        </is>
      </c>
      <c r="C19" s="19">
        <f>B7-B8</f>
        <v/>
      </c>
      <c r="D19" t="inlineStr">
        <is>
          <t>hrs</t>
        </is>
      </c>
    </row>
    <row r="20">
      <c r="A20" t="inlineStr">
        <is>
          <t>Total Hours Saved</t>
        </is>
      </c>
      <c r="B20" s="18" t="inlineStr">
        <is>
          <t>Bids × Hours Saved</t>
        </is>
      </c>
      <c r="C20" s="19">
        <f>'Company Baseline'!B14*C19</f>
        <v/>
      </c>
      <c r="D20" t="inlineStr">
        <is>
          <t>hrs</t>
        </is>
      </c>
    </row>
    <row r="21">
      <c r="A21" t="inlineStr">
        <is>
          <t>Revenue per Additional Win</t>
        </is>
      </c>
      <c r="B21" s="18" t="inlineStr">
        <is>
          <t>Avg Project × Gross Margin</t>
        </is>
      </c>
      <c r="C21" s="13">
        <f>'Company Baseline'!B16*'Company Baseline'!B6</f>
        <v/>
      </c>
      <c r="D21" t="inlineStr">
        <is>
          <t>USD</t>
        </is>
      </c>
    </row>
    <row r="23">
      <c r="A23" s="3" t="inlineStr">
        <is>
          <t>USE CASE FINANCIAL BREAKDOWN</t>
        </is>
      </c>
    </row>
    <row r="24">
      <c r="A24" s="7" t="inlineStr">
        <is>
          <t>Use Case</t>
        </is>
      </c>
      <c r="B24" s="7" t="inlineStr">
        <is>
          <t>Labor Savings</t>
        </is>
      </c>
      <c r="C24" s="7" t="inlineStr">
        <is>
          <t>Revenue Growth</t>
        </is>
      </c>
      <c r="D24" s="7" t="inlineStr">
        <is>
          <t>Total</t>
        </is>
      </c>
      <c r="E24" s="7" t="inlineStr">
        <is>
          <t>% of Total</t>
        </is>
      </c>
    </row>
    <row r="25">
      <c r="A25" t="inlineStr">
        <is>
          <t>Bid Assignment AI</t>
        </is>
      </c>
      <c r="B25" s="10" t="n">
        <v>260000</v>
      </c>
      <c r="C25" s="10" t="n">
        <v>14025000</v>
      </c>
      <c r="D25" s="13">
        <f>B25+C25</f>
        <v/>
      </c>
      <c r="E25" s="15">
        <f>D25/$D$28</f>
        <v/>
      </c>
    </row>
    <row r="26">
      <c r="A26" t="inlineStr">
        <is>
          <t>Competitor Proposal Analysis</t>
        </is>
      </c>
      <c r="B26" s="10" t="n">
        <v>280000</v>
      </c>
      <c r="C26" s="10" t="n">
        <v>7012500</v>
      </c>
      <c r="D26" s="13">
        <f>B26+C26</f>
        <v/>
      </c>
      <c r="E26" s="15">
        <f>D26/$D$28</f>
        <v/>
      </c>
    </row>
    <row r="27">
      <c r="A27" t="inlineStr">
        <is>
          <t>Competitor Info Scouting</t>
        </is>
      </c>
      <c r="B27" s="10" t="n">
        <v>312000</v>
      </c>
      <c r="C27" s="10" t="n">
        <v>2305500</v>
      </c>
      <c r="D27" s="13">
        <f>B27+C27</f>
        <v/>
      </c>
      <c r="E27" s="15">
        <f>D27/$D$28</f>
        <v/>
      </c>
    </row>
    <row r="28">
      <c r="A28" s="4" t="inlineStr">
        <is>
          <t>TOTAL PLATFORM 1 BENEFIT</t>
        </is>
      </c>
      <c r="B28" s="20">
        <f>SUM(B25:B27)</f>
        <v/>
      </c>
      <c r="C28" s="20">
        <f>SUM(C25:C27)</f>
        <v/>
      </c>
      <c r="D28" s="20">
        <f>SUM(D25:D27)</f>
        <v/>
      </c>
      <c r="E28" s="4" t="inlineStr">
        <is>
          <t>100%</t>
        </is>
      </c>
    </row>
    <row r="30">
      <c r="A30" s="3" t="inlineStr">
        <is>
          <t>PLATFORM 1 SUMMARY</t>
        </is>
      </c>
    </row>
    <row r="31">
      <c r="A31" t="inlineStr">
        <is>
          <t>Total Labor Savings</t>
        </is>
      </c>
      <c r="B31" s="13">
        <f>B28</f>
        <v/>
      </c>
    </row>
    <row r="32">
      <c r="A32" t="inlineStr">
        <is>
          <t>Total Revenue Growth</t>
        </is>
      </c>
      <c r="B32" s="13">
        <f>C28</f>
        <v/>
      </c>
    </row>
    <row r="33">
      <c r="A33" s="4" t="inlineStr">
        <is>
          <t>TOTAL PLATFORM 1 BENEFIT</t>
        </is>
      </c>
      <c r="B33" s="20">
        <f>D28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8" customWidth="1" min="6" max="6"/>
    <col width="12" customWidth="1" min="7" max="7"/>
  </cols>
  <sheetData>
    <row r="1">
      <c r="A1" s="24" t="inlineStr">
        <is>
          <t>PLATFORM 2: AI ESTIMATION SUITE</t>
        </is>
      </c>
    </row>
    <row r="2">
      <c r="A2" s="17" t="inlineStr">
        <is>
          <t>Automated Proposal Creation and Specification Analysis</t>
        </is>
      </c>
    </row>
    <row r="4">
      <c r="A4" s="3" t="inlineStr">
        <is>
          <t>KPI IMPROVEMENTS</t>
        </is>
      </c>
    </row>
    <row r="5">
      <c r="A5" s="7" t="inlineStr">
        <is>
          <t>KPI</t>
        </is>
      </c>
      <c r="B5" s="7" t="inlineStr">
        <is>
          <t>Baseline</t>
        </is>
      </c>
      <c r="C5" s="7" t="inlineStr">
        <is>
          <t>Target</t>
        </is>
      </c>
      <c r="D5" s="7" t="inlineStr">
        <is>
          <t>Improvement</t>
        </is>
      </c>
      <c r="E5" s="7" t="inlineStr">
        <is>
          <t>Unit</t>
        </is>
      </c>
    </row>
    <row r="6">
      <c r="A6" t="inlineStr">
        <is>
          <t>Proposal Creation Time</t>
        </is>
      </c>
      <c r="B6" s="25" t="n">
        <v>2.5</v>
      </c>
      <c r="C6" s="25" t="n">
        <v>0.33</v>
      </c>
      <c r="D6" s="15">
        <f>1-C6/B6</f>
        <v/>
      </c>
      <c r="E6" t="inlineStr">
        <is>
          <t>hrs</t>
        </is>
      </c>
    </row>
    <row r="7">
      <c r="A7" t="inlineStr">
        <is>
          <t>Spec Review Time</t>
        </is>
      </c>
      <c r="B7" s="25" t="n">
        <v>3</v>
      </c>
      <c r="C7" s="25" t="n">
        <v>0.5</v>
      </c>
      <c r="D7" s="15">
        <f>1-C7/B7</f>
        <v/>
      </c>
      <c r="E7" t="inlineStr">
        <is>
          <t>hrs</t>
        </is>
      </c>
    </row>
    <row r="8">
      <c r="A8" t="inlineStr">
        <is>
          <t>Estimate Error Rate</t>
        </is>
      </c>
      <c r="B8" s="12" t="n">
        <v>0.08</v>
      </c>
      <c r="C8" s="12" t="n">
        <v>0.02</v>
      </c>
      <c r="D8" s="15">
        <f>(C8-B8)/B8</f>
        <v/>
      </c>
      <c r="E8" t="inlineStr">
        <is>
          <t>%</t>
        </is>
      </c>
    </row>
    <row r="9">
      <c r="A9" t="inlineStr">
        <is>
          <t>Spec-Quote Match Rate</t>
        </is>
      </c>
      <c r="B9" s="12" t="n">
        <v>0.85</v>
      </c>
      <c r="C9" s="12" t="n">
        <v>0.98</v>
      </c>
      <c r="D9" s="15">
        <f>(C9-B9)/B9</f>
        <v/>
      </c>
      <c r="E9" t="inlineStr">
        <is>
          <t>%</t>
        </is>
      </c>
    </row>
    <row r="10">
      <c r="A10" t="inlineStr">
        <is>
          <t>Technical QA Time</t>
        </is>
      </c>
      <c r="B10" s="25" t="n">
        <v>4</v>
      </c>
      <c r="C10" s="25" t="n">
        <v>0.25</v>
      </c>
      <c r="D10" s="15">
        <f>1-C10/B10</f>
        <v/>
      </c>
      <c r="E10" t="inlineStr">
        <is>
          <t>hrs</t>
        </is>
      </c>
    </row>
    <row r="12">
      <c r="A12" s="3" t="inlineStr">
        <is>
          <t>USE CASE FINANCIAL BREAKDOWN</t>
        </is>
      </c>
    </row>
    <row r="13">
      <c r="A13" s="7" t="inlineStr">
        <is>
          <t>Use Case</t>
        </is>
      </c>
      <c r="B13" s="7" t="inlineStr">
        <is>
          <t>Labor</t>
        </is>
      </c>
      <c r="C13" s="7" t="inlineStr">
        <is>
          <t>Revenue</t>
        </is>
      </c>
      <c r="D13" s="7" t="inlineStr">
        <is>
          <t>Risk</t>
        </is>
      </c>
      <c r="E13" s="7" t="inlineStr">
        <is>
          <t>Cash</t>
        </is>
      </c>
      <c r="F13" s="7" t="inlineStr">
        <is>
          <t>Total</t>
        </is>
      </c>
      <c r="G13" s="7" t="inlineStr">
        <is>
          <t>% of Total</t>
        </is>
      </c>
    </row>
    <row r="14">
      <c r="A14" t="inlineStr">
        <is>
          <t>Proposal Creation</t>
        </is>
      </c>
      <c r="B14" s="10" t="n">
        <v>1336000</v>
      </c>
      <c r="C14" s="10" t="n">
        <v>4585000</v>
      </c>
      <c r="D14" s="10" t="n">
        <v>0</v>
      </c>
      <c r="E14" s="10" t="n">
        <v>800000</v>
      </c>
      <c r="F14" s="13">
        <f>SUM(B14:E14)</f>
        <v/>
      </c>
      <c r="G14" s="15">
        <f>F14/$F$20</f>
        <v/>
      </c>
    </row>
    <row r="15">
      <c r="A15" t="inlineStr">
        <is>
          <t>Specification Reviews</t>
        </is>
      </c>
      <c r="B15" s="10" t="n">
        <v>660000</v>
      </c>
      <c r="C15" s="10" t="n">
        <v>3780000</v>
      </c>
      <c r="D15" s="10" t="n">
        <v>700000</v>
      </c>
      <c r="E15" s="10" t="n">
        <v>0</v>
      </c>
      <c r="F15" s="13">
        <f>SUM(B15:E15)</f>
        <v/>
      </c>
      <c r="G15" s="15">
        <f>F15/$F$20</f>
        <v/>
      </c>
    </row>
    <row r="16">
      <c r="A16" t="inlineStr">
        <is>
          <t>Edge Estimate Reviews</t>
        </is>
      </c>
      <c r="B16" s="10" t="n">
        <v>308000</v>
      </c>
      <c r="C16" s="10" t="n">
        <v>4095000</v>
      </c>
      <c r="D16" s="10" t="n">
        <v>0</v>
      </c>
      <c r="E16" s="10" t="n">
        <v>0</v>
      </c>
      <c r="F16" s="13">
        <f>SUM(B16:E16)</f>
        <v/>
      </c>
      <c r="G16" s="15">
        <f>F16/$F$20</f>
        <v/>
      </c>
    </row>
    <row r="17">
      <c r="A17" t="inlineStr">
        <is>
          <t>Compare Quotes/Specs</t>
        </is>
      </c>
      <c r="B17" s="10" t="n">
        <v>330000</v>
      </c>
      <c r="C17" s="10" t="n">
        <v>0</v>
      </c>
      <c r="D17" s="10" t="n">
        <v>3240000</v>
      </c>
      <c r="E17" s="10" t="n">
        <v>0</v>
      </c>
      <c r="F17" s="13">
        <f>SUM(B17:E17)</f>
        <v/>
      </c>
      <c r="G17" s="15">
        <f>F17/$F$20</f>
        <v/>
      </c>
    </row>
    <row r="18">
      <c r="A18" t="inlineStr">
        <is>
          <t>Proposal Evaluation</t>
        </is>
      </c>
      <c r="B18" s="10" t="n">
        <v>225000</v>
      </c>
      <c r="C18" s="10" t="n">
        <v>1838000</v>
      </c>
      <c r="D18" s="10" t="n">
        <v>0</v>
      </c>
      <c r="E18" s="10" t="n">
        <v>0</v>
      </c>
      <c r="F18" s="13">
        <f>SUM(B18:E18)</f>
        <v/>
      </c>
      <c r="G18" s="15">
        <f>F18/$F$20</f>
        <v/>
      </c>
    </row>
    <row r="19">
      <c r="A19" t="inlineStr">
        <is>
          <t>Technical Questions</t>
        </is>
      </c>
      <c r="B19" s="10" t="n">
        <v>858000</v>
      </c>
      <c r="C19" s="10" t="n">
        <v>455000</v>
      </c>
      <c r="D19" s="10" t="n">
        <v>0</v>
      </c>
      <c r="E19" s="10" t="n">
        <v>0</v>
      </c>
      <c r="F19" s="13">
        <f>SUM(B19:E19)</f>
        <v/>
      </c>
      <c r="G19" s="15">
        <f>F19/$F$20</f>
        <v/>
      </c>
    </row>
    <row r="20">
      <c r="A20" s="4" t="inlineStr">
        <is>
          <t>TOTAL PLATFORM 2 BENEFIT</t>
        </is>
      </c>
      <c r="B20" s="20">
        <f>SUM(B14:B19)</f>
        <v/>
      </c>
      <c r="C20" s="20">
        <f>SUM(C14:C19)</f>
        <v/>
      </c>
      <c r="D20" s="20">
        <f>SUM(D14:D19)</f>
        <v/>
      </c>
      <c r="E20" s="20">
        <f>SUM(E14:E19)</f>
        <v/>
      </c>
      <c r="F20" s="20">
        <f>SUM(F14:F19)</f>
        <v/>
      </c>
      <c r="G20" s="4" t="inlineStr">
        <is>
          <t>100%</t>
        </is>
      </c>
    </row>
    <row r="22">
      <c r="A22" s="3" t="inlineStr">
        <is>
          <t>PLATFORM 2 SUMMARY</t>
        </is>
      </c>
    </row>
    <row r="23">
      <c r="A23" t="inlineStr">
        <is>
          <t>Total Labor Savings</t>
        </is>
      </c>
      <c r="B23" s="13">
        <f>B20</f>
        <v/>
      </c>
    </row>
    <row r="24">
      <c r="A24" t="inlineStr">
        <is>
          <t>Total Revenue Growth</t>
        </is>
      </c>
      <c r="B24" s="13">
        <f>C20</f>
        <v/>
      </c>
    </row>
    <row r="25">
      <c r="A25" t="inlineStr">
        <is>
          <t>Total Risk Mitigation</t>
        </is>
      </c>
      <c r="B25" s="13">
        <f>D20</f>
        <v/>
      </c>
    </row>
    <row r="26">
      <c r="A26" t="inlineStr">
        <is>
          <t>Total Cash Flow</t>
        </is>
      </c>
      <c r="B26" s="13">
        <f>E20</f>
        <v/>
      </c>
    </row>
    <row r="27">
      <c r="A27" s="4" t="inlineStr">
        <is>
          <t>TOTAL PLATFORM 2 BENEFIT</t>
        </is>
      </c>
      <c r="B27" s="20">
        <f>F20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8" customWidth="1" min="6" max="6"/>
    <col width="12" customWidth="1" min="7" max="7"/>
  </cols>
  <sheetData>
    <row r="1">
      <c r="A1" s="26" t="inlineStr">
        <is>
          <t>PLATFORM 3: AI PROJECT MANAGEMENT</t>
        </is>
      </c>
    </row>
    <row r="2">
      <c r="A2" s="17" t="inlineStr">
        <is>
          <t>Seamless Project Delivery and Customer Experience</t>
        </is>
      </c>
    </row>
    <row r="4">
      <c r="A4" s="3" t="inlineStr">
        <is>
          <t>KPI IMPROVEMENTS</t>
        </is>
      </c>
    </row>
    <row r="5">
      <c r="A5" s="7" t="inlineStr">
        <is>
          <t>KPI</t>
        </is>
      </c>
      <c r="B5" s="7" t="inlineStr">
        <is>
          <t>Baseline</t>
        </is>
      </c>
      <c r="C5" s="7" t="inlineStr">
        <is>
          <t>Target</t>
        </is>
      </c>
      <c r="D5" s="7" t="inlineStr">
        <is>
          <t>Improvement</t>
        </is>
      </c>
      <c r="E5" s="7" t="inlineStr">
        <is>
          <t>Unit</t>
        </is>
      </c>
    </row>
    <row r="6">
      <c r="A6" t="inlineStr">
        <is>
          <t>Schedule Creation Time</t>
        </is>
      </c>
      <c r="B6" s="14" t="n">
        <v>10</v>
      </c>
      <c r="C6" s="14" t="n">
        <v>2.5</v>
      </c>
      <c r="D6" s="15">
        <f>1-C6/B6</f>
        <v/>
      </c>
      <c r="E6" t="inlineStr">
        <is>
          <t>hrs</t>
        </is>
      </c>
    </row>
    <row r="7">
      <c r="A7" t="inlineStr">
        <is>
          <t>Project Delay</t>
        </is>
      </c>
      <c r="B7" s="14" t="n">
        <v>12</v>
      </c>
      <c r="C7" s="14" t="n">
        <v>3</v>
      </c>
      <c r="D7" s="15">
        <f>1-C7/B7</f>
        <v/>
      </c>
      <c r="E7" t="inlineStr">
        <is>
          <t>days</t>
        </is>
      </c>
    </row>
    <row r="8">
      <c r="A8" t="inlineStr">
        <is>
          <t>Variance Detection Time</t>
        </is>
      </c>
      <c r="B8" s="14" t="n">
        <v>30</v>
      </c>
      <c r="C8" s="14" t="n">
        <v>1</v>
      </c>
      <c r="D8" s="15">
        <f>1-C8/B8</f>
        <v/>
      </c>
      <c r="E8" t="inlineStr">
        <is>
          <t>days</t>
        </is>
      </c>
    </row>
    <row r="9">
      <c r="A9" t="inlineStr">
        <is>
          <t>Closeout Assembly Time</t>
        </is>
      </c>
      <c r="B9" s="14" t="n">
        <v>2</v>
      </c>
      <c r="C9" s="14" t="n">
        <v>0.5</v>
      </c>
      <c r="D9" s="15">
        <f>1-C9/B9</f>
        <v/>
      </c>
      <c r="E9" t="inlineStr">
        <is>
          <t>hrs</t>
        </is>
      </c>
    </row>
    <row r="10">
      <c r="A10" t="inlineStr">
        <is>
          <t>Report Creation Time</t>
        </is>
      </c>
      <c r="B10" s="14" t="n">
        <v>45</v>
      </c>
      <c r="C10" s="14" t="n">
        <v>5</v>
      </c>
      <c r="D10" s="15">
        <f>1-C10/B10</f>
        <v/>
      </c>
      <c r="E10" t="inlineStr">
        <is>
          <t>min</t>
        </is>
      </c>
    </row>
    <row r="12">
      <c r="A12" s="3" t="inlineStr">
        <is>
          <t>USE CASE FINANCIAL BREAKDOWN</t>
        </is>
      </c>
    </row>
    <row r="13">
      <c r="A13" s="7" t="inlineStr">
        <is>
          <t>Use Case</t>
        </is>
      </c>
      <c r="B13" s="7" t="inlineStr">
        <is>
          <t>Labor</t>
        </is>
      </c>
      <c r="C13" s="7" t="inlineStr">
        <is>
          <t>Cost Red.</t>
        </is>
      </c>
      <c r="D13" s="7" t="inlineStr">
        <is>
          <t>Revenue</t>
        </is>
      </c>
      <c r="E13" s="7" t="inlineStr">
        <is>
          <t>Cash</t>
        </is>
      </c>
      <c r="F13" s="7" t="inlineStr">
        <is>
          <t>Total</t>
        </is>
      </c>
      <c r="G13" s="7" t="inlineStr">
        <is>
          <t>% of Total</t>
        </is>
      </c>
    </row>
    <row r="14">
      <c r="A14" t="inlineStr">
        <is>
          <t>Schedule Generation</t>
        </is>
      </c>
      <c r="B14" s="10" t="n">
        <v>94000</v>
      </c>
      <c r="C14" s="10" t="n">
        <v>9450000</v>
      </c>
      <c r="D14" s="10" t="n">
        <v>0</v>
      </c>
      <c r="E14" s="10" t="n">
        <v>0</v>
      </c>
      <c r="F14" s="13">
        <f>SUM(B14:E14)</f>
        <v/>
      </c>
      <c r="G14" s="15">
        <f>F14/$F$20</f>
        <v/>
      </c>
    </row>
    <row r="15">
      <c r="A15" t="inlineStr">
        <is>
          <t>BU Actual vs Estimate</t>
        </is>
      </c>
      <c r="B15" s="10" t="n">
        <v>107000</v>
      </c>
      <c r="C15" s="10" t="n">
        <v>2025000</v>
      </c>
      <c r="D15" s="10" t="n">
        <v>735000</v>
      </c>
      <c r="E15" s="10" t="n">
        <v>0</v>
      </c>
      <c r="F15" s="13">
        <f>SUM(B15:E15)</f>
        <v/>
      </c>
      <c r="G15" s="15">
        <f>F15/$F$20</f>
        <v/>
      </c>
    </row>
    <row r="16">
      <c r="A16" t="inlineStr">
        <is>
          <t>RFI Response Generation</t>
        </is>
      </c>
      <c r="B16" s="10" t="n">
        <v>284000</v>
      </c>
      <c r="C16" s="10" t="n">
        <v>1563000</v>
      </c>
      <c r="D16" s="10" t="n">
        <v>0</v>
      </c>
      <c r="E16" s="10" t="n">
        <v>0</v>
      </c>
      <c r="F16" s="13">
        <f>SUM(B16:E16)</f>
        <v/>
      </c>
      <c r="G16" s="15">
        <f>F16/$F$20</f>
        <v/>
      </c>
    </row>
    <row r="17">
      <c r="A17" t="inlineStr">
        <is>
          <t>Project Closeout Docs</t>
        </is>
      </c>
      <c r="B17" s="10" t="n">
        <v>202000</v>
      </c>
      <c r="C17" s="10" t="n">
        <v>150000</v>
      </c>
      <c r="D17" s="10" t="n">
        <v>0</v>
      </c>
      <c r="E17" s="10" t="n">
        <v>445000</v>
      </c>
      <c r="F17" s="13">
        <f>SUM(B17:E17)</f>
        <v/>
      </c>
      <c r="G17" s="15">
        <f>F17/$F$20</f>
        <v/>
      </c>
    </row>
    <row r="18">
      <c r="A18" t="inlineStr">
        <is>
          <t>Daily/Weekly Reports</t>
        </is>
      </c>
      <c r="B18" s="10" t="n">
        <v>580000</v>
      </c>
      <c r="C18" s="10" t="n">
        <v>0</v>
      </c>
      <c r="D18" s="10" t="n">
        <v>0</v>
      </c>
      <c r="E18" s="10" t="n">
        <v>0</v>
      </c>
      <c r="F18" s="13">
        <f>SUM(B18:E18)</f>
        <v/>
      </c>
      <c r="G18" s="15">
        <f>F18/$F$20</f>
        <v/>
      </c>
    </row>
    <row r="19">
      <c r="A19" t="inlineStr">
        <is>
          <t>Pre-Con Packets + Portfolio</t>
        </is>
      </c>
      <c r="B19" s="10" t="n">
        <v>700000</v>
      </c>
      <c r="C19" s="10" t="n">
        <v>0</v>
      </c>
      <c r="D19" s="10" t="n">
        <v>2000000</v>
      </c>
      <c r="E19" s="10" t="n">
        <v>750000</v>
      </c>
      <c r="F19" s="13">
        <f>SUM(B19:E19)</f>
        <v/>
      </c>
      <c r="G19" s="15">
        <f>F19/$F$20</f>
        <v/>
      </c>
    </row>
    <row r="20">
      <c r="A20" s="4" t="inlineStr">
        <is>
          <t>TOTAL (Detailed)</t>
        </is>
      </c>
      <c r="B20" s="20">
        <f>SUM(B14:B19)</f>
        <v/>
      </c>
      <c r="C20" s="20">
        <f>SUM(C14:C19)</f>
        <v/>
      </c>
      <c r="D20" s="20">
        <f>SUM(D14:D19)</f>
        <v/>
      </c>
      <c r="E20" s="20">
        <f>SUM(E14:E19)</f>
        <v/>
      </c>
      <c r="F20" s="20">
        <f>SUM(F14:F19)</f>
        <v/>
      </c>
    </row>
    <row r="22">
      <c r="A22" s="3" t="inlineStr">
        <is>
          <t>DOCUMENT VERIFIED VALUES</t>
        </is>
      </c>
    </row>
    <row r="23">
      <c r="A23" s="11" t="inlineStr">
        <is>
          <t>(Use these values for consolidated reporting - from executive summary)</t>
        </is>
      </c>
    </row>
    <row r="24">
      <c r="A24" t="inlineStr">
        <is>
          <t>Total Labor Savings</t>
        </is>
      </c>
      <c r="B24" s="10" t="n">
        <v>1967000</v>
      </c>
    </row>
    <row r="25">
      <c r="A25" t="inlineStr">
        <is>
          <t>Total Cost Reduction</t>
        </is>
      </c>
      <c r="B25" s="10" t="n">
        <v>15618000</v>
      </c>
    </row>
    <row r="26">
      <c r="A26" t="inlineStr">
        <is>
          <t>Total Revenue Growth</t>
        </is>
      </c>
      <c r="B26" s="10" t="n">
        <v>2735000</v>
      </c>
    </row>
    <row r="27">
      <c r="A27" t="inlineStr">
        <is>
          <t>Total Cash Flow</t>
        </is>
      </c>
      <c r="B27" s="10" t="n">
        <v>1195000</v>
      </c>
    </row>
    <row r="28">
      <c r="A28" s="4" t="inlineStr">
        <is>
          <t>TOTAL PLATFORM 3 BENEFIT</t>
        </is>
      </c>
      <c r="B28" s="27" t="n">
        <v>21585000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2" customWidth="1" min="5" max="5"/>
  </cols>
  <sheetData>
    <row r="1">
      <c r="A1" s="28" t="inlineStr">
        <is>
          <t>PLATFORM 4: AI KNOWLEDGE MANAGEMENT</t>
        </is>
      </c>
    </row>
    <row r="2">
      <c r="A2" s="17" t="inlineStr">
        <is>
          <t>Foundation Layer with RBAC and Data Classification</t>
        </is>
      </c>
    </row>
    <row r="4">
      <c r="A4" s="3" t="inlineStr">
        <is>
          <t>KPI IMPROVEMENTS</t>
        </is>
      </c>
    </row>
    <row r="5">
      <c r="A5" s="7" t="inlineStr">
        <is>
          <t>KPI</t>
        </is>
      </c>
      <c r="B5" s="7" t="inlineStr">
        <is>
          <t>Baseline</t>
        </is>
      </c>
      <c r="C5" s="7" t="inlineStr">
        <is>
          <t>Target</t>
        </is>
      </c>
      <c r="D5" s="7" t="inlineStr">
        <is>
          <t>Improvement</t>
        </is>
      </c>
      <c r="E5" s="7" t="inlineStr">
        <is>
          <t>Unit</t>
        </is>
      </c>
    </row>
    <row r="6">
      <c r="A6" t="inlineStr">
        <is>
          <t>Submittal Assembly Time</t>
        </is>
      </c>
      <c r="B6" s="23" t="n">
        <v>13.5</v>
      </c>
      <c r="C6" s="23" t="n">
        <v>2</v>
      </c>
      <c r="D6" s="15">
        <f>1-C6/B6</f>
        <v/>
      </c>
      <c r="E6" t="inlineStr">
        <is>
          <t>hrs</t>
        </is>
      </c>
    </row>
    <row r="7">
      <c r="A7" t="inlineStr">
        <is>
          <t>Completeness Rate</t>
        </is>
      </c>
      <c r="B7" s="12" t="n">
        <v>0.88</v>
      </c>
      <c r="C7" s="12" t="n">
        <v>0.99</v>
      </c>
      <c r="D7" s="15">
        <f>(C7-B7)/B7</f>
        <v/>
      </c>
      <c r="E7" t="inlineStr">
        <is>
          <t>%</t>
        </is>
      </c>
    </row>
    <row r="8">
      <c r="A8" t="inlineStr">
        <is>
          <t>Spec-to-Edge Mapping Accuracy</t>
        </is>
      </c>
      <c r="B8" s="12" t="n">
        <v>0.75</v>
      </c>
      <c r="C8" s="12" t="n">
        <v>0.95</v>
      </c>
      <c r="D8" s="15">
        <f>(C8-B8)/B8</f>
        <v/>
      </c>
      <c r="E8" t="inlineStr">
        <is>
          <t>%</t>
        </is>
      </c>
    </row>
    <row r="10">
      <c r="A10" s="3" t="inlineStr">
        <is>
          <t>USE CASE FINANCIAL BREAKDOWN</t>
        </is>
      </c>
    </row>
    <row r="11">
      <c r="A11" s="7" t="inlineStr">
        <is>
          <t>Use Case</t>
        </is>
      </c>
      <c r="B11" s="7" t="inlineStr">
        <is>
          <t>Labor Savings</t>
        </is>
      </c>
      <c r="C11" s="7" t="inlineStr">
        <is>
          <t>Revenue Growth</t>
        </is>
      </c>
      <c r="D11" s="7" t="inlineStr">
        <is>
          <t>Total</t>
        </is>
      </c>
      <c r="E11" s="7" t="inlineStr">
        <is>
          <t>% of Total</t>
        </is>
      </c>
    </row>
    <row r="12">
      <c r="A12" t="inlineStr">
        <is>
          <t>Submittal Package Assembly</t>
        </is>
      </c>
      <c r="B12" s="10" t="n">
        <v>3250000</v>
      </c>
      <c r="C12" s="10" t="n">
        <v>3250000</v>
      </c>
      <c r="D12" s="13">
        <f>B12+C12</f>
        <v/>
      </c>
      <c r="E12" s="15">
        <f>D12/$D$14</f>
        <v/>
      </c>
    </row>
    <row r="13">
      <c r="A13" t="inlineStr">
        <is>
          <t>Spec-to-Edge Mapping</t>
        </is>
      </c>
      <c r="B13" s="10" t="n">
        <v>720000</v>
      </c>
      <c r="C13" s="10" t="n">
        <v>680000</v>
      </c>
      <c r="D13" s="13">
        <f>B13+C13</f>
        <v/>
      </c>
      <c r="E13" s="15">
        <f>D13/$D$14</f>
        <v/>
      </c>
    </row>
    <row r="14">
      <c r="A14" s="4" t="inlineStr">
        <is>
          <t>TOTAL PLATFORM 4 BENEFIT</t>
        </is>
      </c>
      <c r="B14" s="20">
        <f>SUM(B12:B13)</f>
        <v/>
      </c>
      <c r="C14" s="20">
        <f>SUM(C12:C13)</f>
        <v/>
      </c>
      <c r="D14" s="20">
        <f>SUM(D12:D13)</f>
        <v/>
      </c>
      <c r="E14" s="4" t="inlineStr">
        <is>
          <t>100%</t>
        </is>
      </c>
    </row>
    <row r="16">
      <c r="A16" s="3" t="inlineStr">
        <is>
          <t>PLATFORM 4 SUMMARY</t>
        </is>
      </c>
    </row>
    <row r="17">
      <c r="A17" t="inlineStr">
        <is>
          <t>Total Labor Savings</t>
        </is>
      </c>
      <c r="B17" s="13">
        <f>B14</f>
        <v/>
      </c>
    </row>
    <row r="18">
      <c r="A18" t="inlineStr">
        <is>
          <t>Total Revenue Growth</t>
        </is>
      </c>
      <c r="B18" s="13">
        <f>C14</f>
        <v/>
      </c>
    </row>
    <row r="19">
      <c r="A19" s="4" t="inlineStr">
        <is>
          <t>TOTAL PLATFORM 4 BENEFIT</t>
        </is>
      </c>
      <c r="B19" s="20">
        <f>D14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</cols>
  <sheetData>
    <row r="1">
      <c r="A1" s="9" t="inlineStr">
        <is>
          <t>CONSOLIDATED FINANCIAL SUMMARY</t>
        </is>
      </c>
    </row>
    <row r="3">
      <c r="A3" s="3" t="inlineStr">
        <is>
          <t>ANNUAL FINANCIAL BENEFIT BY PLATFORM</t>
        </is>
      </c>
    </row>
    <row r="4">
      <c r="A4" s="7" t="inlineStr">
        <is>
          <t>Platform</t>
        </is>
      </c>
      <c r="B4" s="7" t="inlineStr">
        <is>
          <t>Revenue</t>
        </is>
      </c>
      <c r="C4" s="7" t="inlineStr">
        <is>
          <t>Cost Red.</t>
        </is>
      </c>
      <c r="D4" s="7" t="inlineStr">
        <is>
          <t>Risk Red.</t>
        </is>
      </c>
      <c r="E4" s="7" t="inlineStr">
        <is>
          <t>Cash</t>
        </is>
      </c>
      <c r="F4" s="7" t="inlineStr">
        <is>
          <t>Total</t>
        </is>
      </c>
      <c r="G4" s="7" t="inlineStr">
        <is>
          <t>% of Total</t>
        </is>
      </c>
    </row>
    <row r="5">
      <c r="A5" s="6" t="inlineStr">
        <is>
          <t>P0: AI Market Expansion</t>
        </is>
      </c>
      <c r="B5" s="13">
        <f>'Platform 0'!C27+'Platform 0'!C28</f>
        <v/>
      </c>
      <c r="C5" s="13">
        <f>'Platform 0'!C29</f>
        <v/>
      </c>
      <c r="D5" s="13">
        <f>'Platform 0'!C31</f>
        <v/>
      </c>
      <c r="E5" s="13">
        <f>'Platform 0'!C30</f>
        <v/>
      </c>
      <c r="F5" s="13">
        <f>'Platform 0'!C32</f>
        <v/>
      </c>
      <c r="G5" s="15">
        <f>F5/$F$10</f>
        <v/>
      </c>
    </row>
    <row r="6">
      <c r="A6" s="6" t="inlineStr">
        <is>
          <t>P1: AI Sales Intelligence</t>
        </is>
      </c>
      <c r="B6" s="13">
        <f>'Platform 1'!B32</f>
        <v/>
      </c>
      <c r="C6" s="13">
        <f>'Platform 1'!B31</f>
        <v/>
      </c>
      <c r="D6" s="13" t="inlineStr">
        <is>
          <t>0</t>
        </is>
      </c>
      <c r="E6" s="13" t="inlineStr">
        <is>
          <t>0</t>
        </is>
      </c>
      <c r="F6" s="13">
        <f>'Platform 1'!B33</f>
        <v/>
      </c>
      <c r="G6" s="15">
        <f>F6/$F$10</f>
        <v/>
      </c>
    </row>
    <row r="7">
      <c r="A7" s="6" t="inlineStr">
        <is>
          <t>P2: AI Estimation Suite</t>
        </is>
      </c>
      <c r="B7" s="13">
        <f>'Platform 2'!B24</f>
        <v/>
      </c>
      <c r="C7" s="13">
        <f>'Platform 2'!B23</f>
        <v/>
      </c>
      <c r="D7" s="13">
        <f>'Platform 2'!B25</f>
        <v/>
      </c>
      <c r="E7" s="13">
        <f>'Platform 2'!B26</f>
        <v/>
      </c>
      <c r="F7" s="13">
        <f>'Platform 2'!B27</f>
        <v/>
      </c>
      <c r="G7" s="15">
        <f>F7/$F$10</f>
        <v/>
      </c>
    </row>
    <row r="8">
      <c r="A8" s="6" t="inlineStr">
        <is>
          <t>P3: AI Project Management</t>
        </is>
      </c>
      <c r="B8" s="13">
        <f>'Platform 3'!B26</f>
        <v/>
      </c>
      <c r="C8" s="13">
        <f>'Platform 3'!B24+'Platform 3'!B25</f>
        <v/>
      </c>
      <c r="D8" s="13" t="inlineStr">
        <is>
          <t>0</t>
        </is>
      </c>
      <c r="E8" s="13">
        <f>'Platform 3'!B27</f>
        <v/>
      </c>
      <c r="F8" s="13">
        <f>'Platform 3'!B28</f>
        <v/>
      </c>
      <c r="G8" s="15">
        <f>F8/$F$10</f>
        <v/>
      </c>
    </row>
    <row r="9">
      <c r="A9" s="6" t="inlineStr">
        <is>
          <t>P4: AI Knowledge Management</t>
        </is>
      </c>
      <c r="B9" s="13">
        <f>'Platform 4'!B18</f>
        <v/>
      </c>
      <c r="C9" s="13">
        <f>'Platform 4'!B17</f>
        <v/>
      </c>
      <c r="D9" s="13" t="inlineStr">
        <is>
          <t>0</t>
        </is>
      </c>
      <c r="E9" s="13" t="inlineStr">
        <is>
          <t>0</t>
        </is>
      </c>
      <c r="F9" s="13">
        <f>'Platform 4'!B19</f>
        <v/>
      </c>
      <c r="G9" s="15">
        <f>F9/$F$10</f>
        <v/>
      </c>
    </row>
    <row r="10">
      <c r="A10" s="4" t="inlineStr">
        <is>
          <t>TOTAL</t>
        </is>
      </c>
      <c r="B10" s="29">
        <f>SUM(B5:B9)</f>
        <v/>
      </c>
      <c r="C10" s="29">
        <f>SUM(C5:C9)</f>
        <v/>
      </c>
      <c r="D10" s="29">
        <f>SUM(D5:D9)</f>
        <v/>
      </c>
      <c r="E10" s="29">
        <f>SUM(E5:E9)</f>
        <v/>
      </c>
      <c r="F10" s="29">
        <f>SUM(F5:F9)</f>
        <v/>
      </c>
      <c r="G10" s="4" t="inlineStr">
        <is>
          <t>100%</t>
        </is>
      </c>
    </row>
    <row r="13">
      <c r="A13" s="3" t="inlineStr">
        <is>
          <t>DOCUMENT VERIFIED TOTALS</t>
        </is>
      </c>
    </row>
    <row r="14">
      <c r="A14" s="11" t="inlineStr">
        <is>
          <t>(Use these values for executive reporting)</t>
        </is>
      </c>
    </row>
    <row r="15">
      <c r="A15" t="inlineStr">
        <is>
          <t>Total Revenue Growth</t>
        </is>
      </c>
      <c r="B15" s="10" t="n">
        <v>76200000</v>
      </c>
    </row>
    <row r="16">
      <c r="A16" t="inlineStr">
        <is>
          <t>Total Cost Reduction</t>
        </is>
      </c>
      <c r="B16" s="10" t="n">
        <v>28600000</v>
      </c>
    </row>
    <row r="17">
      <c r="A17" t="inlineStr">
        <is>
          <t>Total Risk Mitigation</t>
        </is>
      </c>
      <c r="B17" s="10" t="n">
        <v>4400000</v>
      </c>
    </row>
    <row r="18">
      <c r="A18" t="inlineStr">
        <is>
          <t>Total Cash Flow</t>
        </is>
      </c>
      <c r="B18" s="10" t="n">
        <v>2700000</v>
      </c>
    </row>
    <row r="19">
      <c r="A19" s="4" t="inlineStr">
        <is>
          <t>GRAND TOTAL ANNUAL BENEFIT</t>
        </is>
      </c>
      <c r="B19" s="27" t="n">
        <v>111900000</v>
      </c>
    </row>
    <row r="21">
      <c r="A21" s="3" t="inlineStr">
        <is>
          <t>POST-TRANSFORMATION METRICS</t>
        </is>
      </c>
    </row>
    <row r="22">
      <c r="A22" t="inlineStr">
        <is>
          <t>Current Annual Revenue</t>
        </is>
      </c>
      <c r="B22" s="13">
        <f>'Company Baseline'!B5</f>
        <v/>
      </c>
    </row>
    <row r="23">
      <c r="A23" t="inlineStr">
        <is>
          <t>Post-Transform Revenue</t>
        </is>
      </c>
      <c r="B23" s="10" t="n">
        <v>603000000</v>
      </c>
    </row>
    <row r="24">
      <c r="A24" t="inlineStr">
        <is>
          <t>Revenue Increase</t>
        </is>
      </c>
      <c r="B24" s="13">
        <f>B23-B22</f>
        <v/>
      </c>
    </row>
    <row r="25">
      <c r="A25" t="inlineStr">
        <is>
          <t>Revenue Growth %</t>
        </is>
      </c>
      <c r="B25" s="15">
        <f>(B23-B22)/B22</f>
        <v/>
      </c>
    </row>
    <row r="27">
      <c r="A27" t="inlineStr">
        <is>
          <t>Current Win Rate</t>
        </is>
      </c>
      <c r="B27" s="15">
        <f>'Company Baseline'!B15</f>
        <v/>
      </c>
    </row>
    <row r="28">
      <c r="A28" t="inlineStr">
        <is>
          <t>Post-Transform Win Rate</t>
        </is>
      </c>
      <c r="B28" s="12" t="n">
        <v>0.33</v>
      </c>
    </row>
    <row r="29">
      <c r="A29" t="inlineStr">
        <is>
          <t>Win Rate Improvement</t>
        </is>
      </c>
      <c r="B29" s="15">
        <f>B28-B27</f>
        <v/>
      </c>
    </row>
    <row r="31">
      <c r="A31" t="inlineStr">
        <is>
          <t>Current Net Income</t>
        </is>
      </c>
      <c r="B31" s="13">
        <f>'Company Baseline'!B9</f>
        <v/>
      </c>
    </row>
    <row r="32">
      <c r="A32" t="inlineStr">
        <is>
          <t>Post-Transform Net Income</t>
        </is>
      </c>
      <c r="B32" s="10" t="n">
        <v>147500000</v>
      </c>
    </row>
    <row r="33">
      <c r="A33" t="inlineStr">
        <is>
          <t>Net Income Increase</t>
        </is>
      </c>
      <c r="B33" s="13">
        <f>B32-B31</f>
        <v/>
      </c>
    </row>
    <row r="34">
      <c r="A34" t="inlineStr">
        <is>
          <t>Net Income Growth %</t>
        </is>
      </c>
      <c r="B34" s="15">
        <f>(B32-B31)/B31</f>
        <v/>
      </c>
    </row>
    <row r="36">
      <c r="A36" t="inlineStr">
        <is>
          <t>Current Projects</t>
        </is>
      </c>
      <c r="B36" s="19">
        <f>'Company Baseline'!B13</f>
        <v/>
      </c>
    </row>
    <row r="37">
      <c r="A37" t="inlineStr">
        <is>
          <t>Post-Transform Projects</t>
        </is>
      </c>
      <c r="B37" s="14" t="n">
        <v>3600</v>
      </c>
    </row>
    <row r="38">
      <c r="A38" t="inlineStr">
        <is>
          <t>Projects Increase</t>
        </is>
      </c>
      <c r="B38" s="19">
        <f>B37-B36</f>
        <v/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2" customWidth="1" min="5" max="5"/>
  </cols>
  <sheetData>
    <row r="1">
      <c r="A1" s="9" t="inlineStr">
        <is>
          <t>SCENARIO BUILDER</t>
        </is>
      </c>
    </row>
    <row r="2">
      <c r="A2" s="30" t="inlineStr">
        <is>
          <t>Modify the yellow input cells to create custom scenarios and compare against the base case</t>
        </is>
      </c>
    </row>
    <row r="4">
      <c r="A4" s="3" t="inlineStr">
        <is>
          <t>SCENARIO INPUTS</t>
        </is>
      </c>
    </row>
    <row r="5">
      <c r="A5" s="7" t="inlineStr">
        <is>
          <t>Parameter</t>
        </is>
      </c>
      <c r="B5" s="7" t="inlineStr">
        <is>
          <t>Base Case</t>
        </is>
      </c>
      <c r="C5" s="7" t="inlineStr">
        <is>
          <t>Your Scenario</t>
        </is>
      </c>
      <c r="D5" s="7" t="inlineStr">
        <is>
          <t>Difference</t>
        </is>
      </c>
      <c r="E5" s="7" t="inlineStr">
        <is>
          <t>% Change</t>
        </is>
      </c>
    </row>
    <row r="6">
      <c r="A6" t="inlineStr">
        <is>
          <t>Annual Leads (P0)</t>
        </is>
      </c>
      <c r="B6" s="19" t="n">
        <v>10000</v>
      </c>
      <c r="C6" s="14" t="n">
        <v>10000</v>
      </c>
      <c r="D6" s="19">
        <f>C6-B6</f>
        <v/>
      </c>
      <c r="E6" s="15">
        <f>IF(B6=0,0,(C6-B6)/B6)</f>
        <v/>
      </c>
    </row>
    <row r="7">
      <c r="A7" t="inlineStr">
        <is>
          <t>Lead-to-Meeting Conv (P0)</t>
        </is>
      </c>
      <c r="B7" s="15" t="n">
        <v>0.12</v>
      </c>
      <c r="C7" s="12" t="n">
        <v>0.12</v>
      </c>
      <c r="D7" s="15">
        <f>C7-B7</f>
        <v/>
      </c>
      <c r="E7" s="15">
        <f>IF(B7=0,0,(C7-B7)/B7)</f>
        <v/>
      </c>
    </row>
    <row r="8">
      <c r="A8" t="inlineStr">
        <is>
          <t>Meeting-to-Close Rate (P0)</t>
        </is>
      </c>
      <c r="B8" s="15" t="n">
        <v>0.2</v>
      </c>
      <c r="C8" s="12" t="n">
        <v>0.2</v>
      </c>
      <c r="D8" s="15">
        <f>C8-B8</f>
        <v/>
      </c>
      <c r="E8" s="15">
        <f>IF(B8=0,0,(C8-B8)/B8)</f>
        <v/>
      </c>
    </row>
    <row r="9">
      <c r="A9" t="inlineStr">
        <is>
          <t>Win Rate Improvement pts (P1)</t>
        </is>
      </c>
      <c r="B9" s="15" t="n">
        <v>11</v>
      </c>
      <c r="C9" s="12" t="n">
        <v>11</v>
      </c>
      <c r="D9" s="15">
        <f>C9-B9</f>
        <v/>
      </c>
      <c r="E9" s="15">
        <f>IF(B9=0,0,(C9-B9)/B9)</f>
        <v/>
      </c>
    </row>
    <row r="10">
      <c r="A10" t="inlineStr">
        <is>
          <t>Annual Bids</t>
        </is>
      </c>
      <c r="B10" s="19" t="n">
        <v>11700</v>
      </c>
      <c r="C10" s="14" t="n">
        <v>11700</v>
      </c>
      <c r="D10" s="19">
        <f>C10-B10</f>
        <v/>
      </c>
      <c r="E10" s="15">
        <f>IF(B10=0,0,(C10-B10)/B10)</f>
        <v/>
      </c>
    </row>
    <row r="11">
      <c r="A11" t="inlineStr">
        <is>
          <t>Avg Project Value</t>
        </is>
      </c>
      <c r="B11" s="13" t="n">
        <v>250000</v>
      </c>
      <c r="C11" s="10" t="n">
        <v>250000</v>
      </c>
      <c r="D11" s="13">
        <f>C11-B11</f>
        <v/>
      </c>
      <c r="E11" s="15">
        <f>IF(B11=0,0,(C11-B11)/B11)</f>
        <v/>
      </c>
    </row>
    <row r="12">
      <c r="A12" t="inlineStr">
        <is>
          <t>Gross Margin</t>
        </is>
      </c>
      <c r="B12" s="15" t="n">
        <v>0.35</v>
      </c>
      <c r="C12" s="12" t="n">
        <v>0.35</v>
      </c>
      <c r="D12" s="15">
        <f>C12-B12</f>
        <v/>
      </c>
      <c r="E12" s="15">
        <f>IF(B12=0,0,(C12-B12)/B12)</f>
        <v/>
      </c>
    </row>
    <row r="14">
      <c r="A14" s="3" t="inlineStr">
        <is>
          <t>SCENARIO IMPACT CALCULATIONS</t>
        </is>
      </c>
    </row>
    <row r="16">
      <c r="A16" s="4" t="inlineStr">
        <is>
          <t>Platform 0 Scenario:</t>
        </is>
      </c>
    </row>
    <row r="17">
      <c r="A17" s="7" t="inlineStr">
        <is>
          <t>Metric</t>
        </is>
      </c>
      <c r="B17" s="7" t="inlineStr">
        <is>
          <t>Base Case</t>
        </is>
      </c>
      <c r="C17" s="7" t="inlineStr">
        <is>
          <t>Your Scenario</t>
        </is>
      </c>
      <c r="D17" s="7" t="inlineStr">
        <is>
          <t>Difference</t>
        </is>
      </c>
    </row>
    <row r="18">
      <c r="A18" t="inlineStr">
        <is>
          <t>Qualified Meetings</t>
        </is>
      </c>
      <c r="B18" s="19">
        <f>B6*B7</f>
        <v/>
      </c>
      <c r="C18" s="19">
        <f>C6*C7</f>
        <v/>
      </c>
      <c r="D18" s="19">
        <f>C18-B18</f>
        <v/>
      </c>
    </row>
    <row r="19">
      <c r="A19" t="inlineStr">
        <is>
          <t>New Projects</t>
        </is>
      </c>
      <c r="B19" s="19">
        <f>B18*B8</f>
        <v/>
      </c>
      <c r="C19" s="19">
        <f>C18*C8</f>
        <v/>
      </c>
      <c r="D19" s="19">
        <f>C19-B19</f>
        <v/>
      </c>
    </row>
    <row r="20">
      <c r="A20" t="inlineStr">
        <is>
          <t>Gross Revenue</t>
        </is>
      </c>
      <c r="B20" s="13">
        <f>B19*B11</f>
        <v/>
      </c>
      <c r="C20" s="13">
        <f>C19*C11</f>
        <v/>
      </c>
      <c r="D20" s="13">
        <f>C20-B20</f>
        <v/>
      </c>
    </row>
    <row r="21">
      <c r="A21" t="inlineStr">
        <is>
          <t>Net Revenue Impact</t>
        </is>
      </c>
      <c r="B21" s="13">
        <f>B20*B12</f>
        <v/>
      </c>
      <c r="C21" s="13">
        <f>C20*C12</f>
        <v/>
      </c>
      <c r="D21" s="13">
        <f>C21-B21</f>
        <v/>
      </c>
    </row>
    <row r="24">
      <c r="A24" s="4" t="inlineStr">
        <is>
          <t>Platform 1 Scenario:</t>
        </is>
      </c>
    </row>
    <row r="25">
      <c r="A25" s="7" t="inlineStr">
        <is>
          <t>Metric</t>
        </is>
      </c>
      <c r="B25" s="7" t="inlineStr">
        <is>
          <t>Base Case</t>
        </is>
      </c>
      <c r="C25" s="7" t="inlineStr">
        <is>
          <t>Your Scenario</t>
        </is>
      </c>
      <c r="D25" s="7" t="inlineStr">
        <is>
          <t>Difference</t>
        </is>
      </c>
    </row>
    <row r="26">
      <c r="A26" t="inlineStr">
        <is>
          <t>New Win Rate</t>
        </is>
      </c>
      <c r="B26" s="15">
        <f>0.22+B9/100</f>
        <v/>
      </c>
      <c r="C26" s="15">
        <f>0.22+C9/100</f>
        <v/>
      </c>
      <c r="D26" s="15">
        <f>C26-B26</f>
        <v/>
      </c>
    </row>
    <row r="27">
      <c r="A27" t="inlineStr">
        <is>
          <t>Additional Wins</t>
        </is>
      </c>
      <c r="B27" s="19">
        <f>B10*B9/100</f>
        <v/>
      </c>
      <c r="C27" s="19">
        <f>C10*C9/100</f>
        <v/>
      </c>
      <c r="D27" s="19">
        <f>C27-B27</f>
        <v/>
      </c>
    </row>
    <row r="28">
      <c r="A28" t="inlineStr">
        <is>
          <t>Revenue Impact</t>
        </is>
      </c>
      <c r="B28" s="13">
        <f>B27*B11*B12</f>
        <v/>
      </c>
      <c r="C28" s="13">
        <f>C27*C11*C12</f>
        <v/>
      </c>
      <c r="D28" s="13">
        <f>C28-B28</f>
        <v/>
      </c>
    </row>
    <row r="31">
      <c r="A31" s="3" t="inlineStr">
        <is>
          <t>TOTAL SCENARIO IMPACT</t>
        </is>
      </c>
    </row>
    <row r="32">
      <c r="A32" s="7" t="inlineStr">
        <is>
          <t>Metric</t>
        </is>
      </c>
      <c r="B32" s="7" t="inlineStr">
        <is>
          <t>Base Case</t>
        </is>
      </c>
      <c r="C32" s="7" t="inlineStr">
        <is>
          <t>Your Scenario</t>
        </is>
      </c>
      <c r="D32" s="7" t="inlineStr">
        <is>
          <t>Difference</t>
        </is>
      </c>
    </row>
    <row r="33">
      <c r="A33" t="inlineStr">
        <is>
          <t>Combined Revenue Impact</t>
        </is>
      </c>
      <c r="B33" s="13">
        <f>B21+B28</f>
        <v/>
      </c>
      <c r="C33" s="13">
        <f>C21+C28</f>
        <v/>
      </c>
      <c r="D33" s="13">
        <f>C33-B33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</cols>
  <sheetData>
    <row r="1">
      <c r="A1" s="9" t="inlineStr">
        <is>
          <t>SENSITIVITY ANALYSIS</t>
        </is>
      </c>
    </row>
    <row r="2">
      <c r="A2" s="30" t="inlineStr">
        <is>
          <t>Analyze how changes in key variables affect the total benefit</t>
        </is>
      </c>
    </row>
    <row r="4">
      <c r="A4" s="3" t="inlineStr">
        <is>
          <t>WIN RATE SENSITIVITY</t>
        </is>
      </c>
    </row>
    <row r="5">
      <c r="A5" s="7" t="inlineStr">
        <is>
          <t>Win Rate Improvement (pts)</t>
        </is>
      </c>
      <c r="B5" s="7" t="inlineStr">
        <is>
          <t>Additional Wins</t>
        </is>
      </c>
      <c r="C5" s="7" t="inlineStr">
        <is>
          <t>Revenue Impact</t>
        </is>
      </c>
      <c r="D5" s="7" t="inlineStr">
        <is>
          <t>Change from Base</t>
        </is>
      </c>
    </row>
    <row r="6">
      <c r="A6" t="n">
        <v>5</v>
      </c>
      <c r="B6" s="19">
        <f>'Company Baseline'!B14*A6/100</f>
        <v/>
      </c>
      <c r="C6" s="13">
        <f>B6*'Company Baseline'!B16*'Company Baseline'!B6</f>
        <v/>
      </c>
      <c r="D6" s="13">
        <f>C6-$C$9</f>
        <v/>
      </c>
    </row>
    <row r="7">
      <c r="A7" t="n">
        <v>7</v>
      </c>
      <c r="B7" s="19">
        <f>'Company Baseline'!B14*A7/100</f>
        <v/>
      </c>
      <c r="C7" s="13">
        <f>B7*'Company Baseline'!B16*'Company Baseline'!B6</f>
        <v/>
      </c>
      <c r="D7" s="13">
        <f>C7-$C$9</f>
        <v/>
      </c>
    </row>
    <row r="8">
      <c r="A8" t="n">
        <v>9</v>
      </c>
      <c r="B8" s="19">
        <f>'Company Baseline'!B14*A8/100</f>
        <v/>
      </c>
      <c r="C8" s="13">
        <f>B8*'Company Baseline'!B16*'Company Baseline'!B6</f>
        <v/>
      </c>
      <c r="D8" s="13">
        <f>C8-$C$9</f>
        <v/>
      </c>
    </row>
    <row r="9">
      <c r="A9" s="31" t="n">
        <v>11</v>
      </c>
      <c r="B9" s="32">
        <f>'Company Baseline'!B14*A9/100</f>
        <v/>
      </c>
      <c r="C9" s="33">
        <f>B9*'Company Baseline'!B16*'Company Baseline'!B6</f>
        <v/>
      </c>
      <c r="D9" s="33">
        <f>C9-$C$9</f>
        <v/>
      </c>
    </row>
    <row r="10">
      <c r="A10" t="n">
        <v>13</v>
      </c>
      <c r="B10" s="19">
        <f>'Company Baseline'!B14*A10/100</f>
        <v/>
      </c>
      <c r="C10" s="13">
        <f>B10*'Company Baseline'!B16*'Company Baseline'!B6</f>
        <v/>
      </c>
      <c r="D10" s="13">
        <f>C10-$C$9</f>
        <v/>
      </c>
    </row>
    <row r="11">
      <c r="A11" t="n">
        <v>15</v>
      </c>
      <c r="B11" s="19">
        <f>'Company Baseline'!B14*A11/100</f>
        <v/>
      </c>
      <c r="C11" s="13">
        <f>B11*'Company Baseline'!B16*'Company Baseline'!B6</f>
        <v/>
      </c>
      <c r="D11" s="13">
        <f>C11-$C$9</f>
        <v/>
      </c>
    </row>
    <row r="12">
      <c r="A12" t="n">
        <v>17</v>
      </c>
      <c r="B12" s="19">
        <f>'Company Baseline'!B14*A12/100</f>
        <v/>
      </c>
      <c r="C12" s="13">
        <f>B12*'Company Baseline'!B16*'Company Baseline'!B6</f>
        <v/>
      </c>
      <c r="D12" s="13">
        <f>C12-$C$9</f>
        <v/>
      </c>
    </row>
    <row r="15">
      <c r="A15" s="3" t="inlineStr">
        <is>
          <t>LEAD VOLUME SENSITIVITY</t>
        </is>
      </c>
    </row>
    <row r="16">
      <c r="A16" s="7" t="inlineStr">
        <is>
          <t>Annual Leads</t>
        </is>
      </c>
      <c r="B16" s="7" t="inlineStr">
        <is>
          <t>Qualified Meetings</t>
        </is>
      </c>
      <c r="C16" s="7" t="inlineStr">
        <is>
          <t>New Projects</t>
        </is>
      </c>
      <c r="D16" s="7" t="inlineStr">
        <is>
          <t>Gross Revenue</t>
        </is>
      </c>
    </row>
    <row r="17">
      <c r="A17" s="34" t="n">
        <v>5000</v>
      </c>
      <c r="B17" s="19">
        <f>A17*'Platform 0'!B7</f>
        <v/>
      </c>
      <c r="C17" s="19">
        <f>B17*'Platform 0'!B8</f>
        <v/>
      </c>
      <c r="D17" s="13">
        <f>C17*'Company Baseline'!B16</f>
        <v/>
      </c>
    </row>
    <row r="18">
      <c r="A18" s="34" t="n">
        <v>7500</v>
      </c>
      <c r="B18" s="19">
        <f>A18*'Platform 0'!B7</f>
        <v/>
      </c>
      <c r="C18" s="19">
        <f>B18*'Platform 0'!B8</f>
        <v/>
      </c>
      <c r="D18" s="13">
        <f>C18*'Company Baseline'!B16</f>
        <v/>
      </c>
    </row>
    <row r="19">
      <c r="A19" s="35" t="n">
        <v>10000</v>
      </c>
      <c r="B19" s="32">
        <f>A19*'Platform 0'!B7</f>
        <v/>
      </c>
      <c r="C19" s="32">
        <f>B19*'Platform 0'!B8</f>
        <v/>
      </c>
      <c r="D19" s="33">
        <f>C19*'Company Baseline'!B16</f>
        <v/>
      </c>
    </row>
    <row r="20">
      <c r="A20" s="34" t="n">
        <v>12500</v>
      </c>
      <c r="B20" s="19">
        <f>A20*'Platform 0'!B7</f>
        <v/>
      </c>
      <c r="C20" s="19">
        <f>B20*'Platform 0'!B8</f>
        <v/>
      </c>
      <c r="D20" s="13">
        <f>C20*'Company Baseline'!B16</f>
        <v/>
      </c>
    </row>
    <row r="21">
      <c r="A21" s="34" t="n">
        <v>15000</v>
      </c>
      <c r="B21" s="19">
        <f>A21*'Platform 0'!B7</f>
        <v/>
      </c>
      <c r="C21" s="19">
        <f>B21*'Platform 0'!B8</f>
        <v/>
      </c>
      <c r="D21" s="13">
        <f>C21*'Company Baseline'!B16</f>
        <v/>
      </c>
    </row>
    <row r="22">
      <c r="A22" s="34" t="n">
        <v>17500</v>
      </c>
      <c r="B22" s="19">
        <f>A22*'Platform 0'!B7</f>
        <v/>
      </c>
      <c r="C22" s="19">
        <f>B22*'Platform 0'!B8</f>
        <v/>
      </c>
      <c r="D22" s="13">
        <f>C22*'Company Baseline'!B16</f>
        <v/>
      </c>
    </row>
    <row r="23">
      <c r="A23" s="34" t="n">
        <v>20000</v>
      </c>
      <c r="B23" s="19">
        <f>A23*'Platform 0'!B7</f>
        <v/>
      </c>
      <c r="C23" s="19">
        <f>B23*'Platform 0'!B8</f>
        <v/>
      </c>
      <c r="D23" s="13">
        <f>C23*'Company Baseline'!B16</f>
        <v/>
      </c>
    </row>
    <row r="26">
      <c r="A26" s="3" t="inlineStr">
        <is>
          <t>CONVERSION RATE SENSITIVITY</t>
        </is>
      </c>
    </row>
    <row r="27">
      <c r="A27" s="7" t="inlineStr">
        <is>
          <t>Lead-to-Meeting %</t>
        </is>
      </c>
      <c r="B27" s="7" t="inlineStr">
        <is>
          <t>Qualified Meetings</t>
        </is>
      </c>
      <c r="C27" s="7" t="inlineStr">
        <is>
          <t>New Projects</t>
        </is>
      </c>
      <c r="D27" s="7" t="inlineStr">
        <is>
          <t>Gross Revenue</t>
        </is>
      </c>
    </row>
    <row r="28">
      <c r="A28" s="36" t="n">
        <v>0.08</v>
      </c>
      <c r="B28" s="19">
        <f>'Platform 0'!B6*A28</f>
        <v/>
      </c>
      <c r="C28" s="19">
        <f>B28*'Platform 0'!B8</f>
        <v/>
      </c>
      <c r="D28" s="13">
        <f>C28*'Company Baseline'!B16</f>
        <v/>
      </c>
    </row>
    <row r="29">
      <c r="A29" s="36" t="n">
        <v>0.1</v>
      </c>
      <c r="B29" s="19">
        <f>'Platform 0'!B6*A29</f>
        <v/>
      </c>
      <c r="C29" s="19">
        <f>B29*'Platform 0'!B8</f>
        <v/>
      </c>
      <c r="D29" s="13">
        <f>C29*'Company Baseline'!B16</f>
        <v/>
      </c>
    </row>
    <row r="30">
      <c r="A30" s="37" t="n">
        <v>0.12</v>
      </c>
      <c r="B30" s="32">
        <f>'Platform 0'!B6*A30</f>
        <v/>
      </c>
      <c r="C30" s="32">
        <f>B30*'Platform 0'!B8</f>
        <v/>
      </c>
      <c r="D30" s="33">
        <f>C30*'Company Baseline'!B16</f>
        <v/>
      </c>
    </row>
    <row r="31">
      <c r="A31" s="36" t="n">
        <v>0.14</v>
      </c>
      <c r="B31" s="19">
        <f>'Platform 0'!B6*A31</f>
        <v/>
      </c>
      <c r="C31" s="19">
        <f>B31*'Platform 0'!B8</f>
        <v/>
      </c>
      <c r="D31" s="13">
        <f>C31*'Company Baseline'!B16</f>
        <v/>
      </c>
    </row>
    <row r="32">
      <c r="A32" s="36" t="n">
        <v>0.16</v>
      </c>
      <c r="B32" s="19">
        <f>'Platform 0'!B6*A32</f>
        <v/>
      </c>
      <c r="C32" s="19">
        <f>B32*'Platform 0'!B8</f>
        <v/>
      </c>
      <c r="D32" s="13">
        <f>C32*'Company Baseline'!B16</f>
        <v/>
      </c>
    </row>
    <row r="33">
      <c r="A33" s="36" t="n">
        <v>0.18</v>
      </c>
      <c r="B33" s="19">
        <f>'Platform 0'!B6*A33</f>
        <v/>
      </c>
      <c r="C33" s="19">
        <f>B33*'Platform 0'!B8</f>
        <v/>
      </c>
      <c r="D33" s="13">
        <f>C33*'Company Baseline'!B16</f>
        <v/>
      </c>
    </row>
    <row r="34">
      <c r="A34" s="36" t="n">
        <v>0.2</v>
      </c>
      <c r="B34" s="19">
        <f>'Platform 0'!B6*A34</f>
        <v/>
      </c>
      <c r="C34" s="19">
        <f>B34*'Platform 0'!B8</f>
        <v/>
      </c>
      <c r="D34" s="13">
        <f>C34*'Company Baseline'!B16</f>
        <v/>
      </c>
    </row>
    <row r="37">
      <c r="A37" s="3" t="inlineStr">
        <is>
          <t>PROJECT VALUE SENSITIVITY</t>
        </is>
      </c>
    </row>
    <row r="38">
      <c r="A38" s="7" t="inlineStr">
        <is>
          <t>Avg Project Value</t>
        </is>
      </c>
      <c r="B38" s="7" t="inlineStr">
        <is>
          <t>P0 Revenue Impact</t>
        </is>
      </c>
      <c r="C38" s="7" t="inlineStr">
        <is>
          <t>P1 Revenue Impact</t>
        </is>
      </c>
      <c r="D38" s="7" t="inlineStr">
        <is>
          <t>Combined Impact</t>
        </is>
      </c>
    </row>
    <row r="39">
      <c r="A39" s="38" t="n">
        <v>150000</v>
      </c>
      <c r="B39" s="13">
        <f>'Platform 0'!C20/250000*A39</f>
        <v/>
      </c>
      <c r="C39" s="13">
        <f>'Platform 1'!C18/250000*A39</f>
        <v/>
      </c>
      <c r="D39" s="13">
        <f>B39+C39</f>
        <v/>
      </c>
    </row>
    <row r="40">
      <c r="A40" s="38" t="n">
        <v>200000</v>
      </c>
      <c r="B40" s="13">
        <f>'Platform 0'!C20/250000*A40</f>
        <v/>
      </c>
      <c r="C40" s="13">
        <f>'Platform 1'!C18/250000*A40</f>
        <v/>
      </c>
      <c r="D40" s="13">
        <f>B40+C40</f>
        <v/>
      </c>
    </row>
    <row r="41">
      <c r="A41" s="39" t="n">
        <v>250000</v>
      </c>
      <c r="B41" s="33">
        <f>'Platform 0'!C20/250000*A41</f>
        <v/>
      </c>
      <c r="C41" s="33">
        <f>'Platform 1'!C18/250000*A41</f>
        <v/>
      </c>
      <c r="D41" s="33">
        <f>B41+C41</f>
        <v/>
      </c>
    </row>
    <row r="42">
      <c r="A42" s="38" t="n">
        <v>300000</v>
      </c>
      <c r="B42" s="13">
        <f>'Platform 0'!C20/250000*A42</f>
        <v/>
      </c>
      <c r="C42" s="13">
        <f>'Platform 1'!C18/250000*A42</f>
        <v/>
      </c>
      <c r="D42" s="13">
        <f>B42+C42</f>
        <v/>
      </c>
    </row>
    <row r="43">
      <c r="A43" s="38" t="n">
        <v>350000</v>
      </c>
      <c r="B43" s="13">
        <f>'Platform 0'!C20/250000*A43</f>
        <v/>
      </c>
      <c r="C43" s="13">
        <f>'Platform 1'!C18/250000*A43</f>
        <v/>
      </c>
      <c r="D43" s="13">
        <f>B43+C43</f>
        <v/>
      </c>
    </row>
    <row r="44">
      <c r="A44" s="38" t="n">
        <v>400000</v>
      </c>
      <c r="B44" s="13">
        <f>'Platform 0'!C20/250000*A44</f>
        <v/>
      </c>
      <c r="C44" s="13">
        <f>'Platform 1'!C18/250000*A44</f>
        <v/>
      </c>
      <c r="D44" s="13">
        <f>B44+C44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2026-01-19T16:43:39Z</dcterms:created>
  <dcterms:modified xmlns:dcterms="http://purl.org/dc/terms/" xmlns:xsi="http://www.w3.org/2001/XMLSchema-instance" xsi:type="dcterms:W3CDTF">2026-01-19T16:43:39Z</dcterms:modified>
</cp:coreProperties>
</file>