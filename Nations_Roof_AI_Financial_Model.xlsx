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Baseline" sheetId="1" state="visible" r:id="rId1"/>
    <sheet xmlns:r="http://schemas.openxmlformats.org/officeDocument/2006/relationships" name="Platform 0" sheetId="2" state="visible" r:id="rId2"/>
    <sheet xmlns:r="http://schemas.openxmlformats.org/officeDocument/2006/relationships" name="Platform 1" sheetId="3" state="visible" r:id="rId3"/>
    <sheet xmlns:r="http://schemas.openxmlformats.org/officeDocument/2006/relationships" name="Platform 2" sheetId="4" state="visible" r:id="rId4"/>
    <sheet xmlns:r="http://schemas.openxmlformats.org/officeDocument/2006/relationships" name="Platform 3" sheetId="5" state="visible" r:id="rId5"/>
    <sheet xmlns:r="http://schemas.openxmlformats.org/officeDocument/2006/relationships" name="Platform 4" sheetId="6" state="visible" r:id="rId6"/>
    <sheet xmlns:r="http://schemas.openxmlformats.org/officeDocument/2006/relationships" name="Consolidated" sheetId="7" state="visible" r:id="rId7"/>
    <sheet xmlns:r="http://schemas.openxmlformats.org/officeDocument/2006/relationships" name="Scenario Builder" sheetId="8" state="visible" r:id="rId8"/>
    <sheet xmlns:r="http://schemas.openxmlformats.org/officeDocument/2006/relationships" name="Sensitivity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_);_(&quot;$&quot;* (#,##0);_(&quot;$&quot;* &quot;-&quot;??_);_(@_)"/>
    <numFmt numFmtId="165" formatCode="0.0%"/>
    <numFmt numFmtId="166" formatCode="0.0"/>
  </numFmts>
  <fonts count="9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1F4E79"/>
      <sz val="12"/>
    </font>
    <font>
      <b val="1"/>
      <color rgb="00FFFFFF"/>
      <sz val="11"/>
    </font>
    <font>
      <b val="1"/>
      <color rgb="00FFFFFF"/>
      <sz val="14"/>
    </font>
    <font>
      <i val="1"/>
    </font>
    <font>
      <i val="1"/>
      <color rgb="00666666"/>
      <sz val="10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4CAF50"/>
        <bgColor rgb="004CAF50"/>
      </patternFill>
    </fill>
    <fill>
      <patternFill patternType="solid">
        <fgColor rgb="002196F3"/>
        <bgColor rgb="002196F3"/>
      </patternFill>
    </fill>
    <fill>
      <patternFill patternType="solid">
        <fgColor rgb="00FF9800"/>
        <bgColor rgb="00FF9800"/>
      </patternFill>
    </fill>
    <fill>
      <patternFill patternType="solid">
        <fgColor rgb="009C27B0"/>
        <bgColor rgb="009C27B0"/>
      </patternFill>
    </fill>
    <fill>
      <patternFill patternType="solid">
        <fgColor rgb="00607D8B"/>
        <bgColor rgb="00607D8B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4" fontId="0" fillId="4" borderId="1" pivotButton="0" quotePrefix="0" xfId="0"/>
    <xf numFmtId="3" fontId="0" fillId="3" borderId="1" pivotButton="0" quotePrefix="0" xfId="0"/>
    <xf numFmtId="165" fontId="0" fillId="4" borderId="1" pivotButton="0" quotePrefix="0" xfId="0"/>
    <xf numFmtId="0" fontId="5" fillId="5" borderId="0" pivotButton="0" quotePrefix="0" xfId="0"/>
    <xf numFmtId="0" fontId="6" fillId="0" borderId="0" pivotButton="0" quotePrefix="0" xfId="0"/>
    <xf numFmtId="0" fontId="7" fillId="0" borderId="1" pivotButton="0" quotePrefix="0" xfId="0"/>
    <xf numFmtId="3" fontId="0" fillId="4" borderId="1" pivotButton="0" quotePrefix="0" xfId="0"/>
    <xf numFmtId="0" fontId="8" fillId="0" borderId="1" pivotButton="0" quotePrefix="0" xfId="0"/>
    <xf numFmtId="164" fontId="8" fillId="4" borderId="1" pivotButton="0" quotePrefix="0" xfId="0"/>
    <xf numFmtId="166" fontId="0" fillId="4" borderId="1" pivotButton="0" quotePrefix="0" xfId="0"/>
    <xf numFmtId="0" fontId="5" fillId="6" borderId="0" pivotButton="0" quotePrefix="0" xfId="0"/>
    <xf numFmtId="166" fontId="0" fillId="3" borderId="1" pivotButton="0" quotePrefix="0" xfId="0"/>
    <xf numFmtId="165" fontId="8" fillId="4" borderId="1" pivotButton="0" quotePrefix="0" xfId="0"/>
    <xf numFmtId="0" fontId="5" fillId="7" borderId="0" pivotButton="0" quotePrefix="0" xfId="0"/>
    <xf numFmtId="2" fontId="0" fillId="3" borderId="1" pivotButton="0" quotePrefix="0" xfId="0"/>
    <xf numFmtId="49" fontId="0" fillId="4" borderId="1" pivotButton="0" quotePrefix="0" xfId="0"/>
    <xf numFmtId="3" fontId="8" fillId="4" borderId="1" pivotButton="0" quotePrefix="0" xfId="0"/>
    <xf numFmtId="0" fontId="5" fillId="8" borderId="0" pivotButton="0" quotePrefix="0" xfId="0"/>
    <xf numFmtId="0" fontId="5" fillId="9" borderId="0" pivotButton="0" quotePrefix="0" xfId="0"/>
    <xf numFmtId="0" fontId="8" fillId="0" borderId="0" pivotButton="0" quotePrefix="0" xfId="0"/>
    <xf numFmtId="0" fontId="0" fillId="10" borderId="1" pivotButton="0" quotePrefix="0" xfId="0"/>
    <xf numFmtId="3" fontId="0" fillId="10" borderId="1" pivotButton="0" quotePrefix="0" xfId="0"/>
    <xf numFmtId="164" fontId="0" fillId="1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40" customWidth="1" min="4" max="4"/>
  </cols>
  <sheetData>
    <row r="1">
      <c r="A1" s="1" t="inlineStr">
        <is>
          <t>COMPANY BASELINE - CURRENT STATE METRICS</t>
        </is>
      </c>
    </row>
    <row r="3">
      <c r="A3" s="2" t="inlineStr">
        <is>
          <t>Instructions: Modify the YELLOW cells to change baseline assumptions. All other sheets reference these values.</t>
        </is>
      </c>
    </row>
    <row r="5">
      <c r="A5" s="3" t="inlineStr">
        <is>
          <t>FINANCIAL METRICS</t>
        </is>
      </c>
    </row>
    <row r="6">
      <c r="A6" s="4" t="inlineStr">
        <is>
          <t>Metric</t>
        </is>
      </c>
      <c r="B6" s="4" t="inlineStr">
        <is>
          <t>Value</t>
        </is>
      </c>
      <c r="C6" s="4" t="inlineStr">
        <is>
          <t>Unit</t>
        </is>
      </c>
      <c r="D6" s="4" t="inlineStr">
        <is>
          <t>Notes</t>
        </is>
      </c>
    </row>
    <row r="7">
      <c r="A7" s="5" t="inlineStr">
        <is>
          <t>Annual Revenue</t>
        </is>
      </c>
      <c r="B7" s="6" t="n">
        <v>527000000</v>
      </c>
      <c r="C7" s="5" t="inlineStr">
        <is>
          <t>USD</t>
        </is>
      </c>
      <c r="D7" s="2" t="inlineStr">
        <is>
          <t>FY2024 total revenue</t>
        </is>
      </c>
    </row>
    <row r="8">
      <c r="A8" s="5" t="inlineStr">
        <is>
          <t>Gross Margin %</t>
        </is>
      </c>
      <c r="B8" s="7" t="n">
        <v>0.35</v>
      </c>
      <c r="C8" s="5" t="inlineStr">
        <is>
          <t>%</t>
        </is>
      </c>
      <c r="D8" s="2" t="inlineStr">
        <is>
          <t>35% gross margin</t>
        </is>
      </c>
    </row>
    <row r="9">
      <c r="A9" s="5" t="inlineStr">
        <is>
          <t>Net Margin %</t>
        </is>
      </c>
      <c r="B9" s="7" t="n">
        <v>0.07000000000000001</v>
      </c>
      <c r="C9" s="5" t="inlineStr">
        <is>
          <t>%</t>
        </is>
      </c>
      <c r="D9" s="2" t="inlineStr">
        <is>
          <t>7% net margin</t>
        </is>
      </c>
    </row>
    <row r="10">
      <c r="A10" s="5" t="inlineStr">
        <is>
          <t>Gross Profit</t>
        </is>
      </c>
      <c r="B10" s="8">
        <f>B7*B8</f>
        <v/>
      </c>
      <c r="C10" s="5" t="inlineStr">
        <is>
          <t>USD</t>
        </is>
      </c>
      <c r="D10" s="2">
        <f>Revenue × Gross Margin</f>
        <v/>
      </c>
    </row>
    <row r="11">
      <c r="A11" s="5" t="inlineStr">
        <is>
          <t>Net Income</t>
        </is>
      </c>
      <c r="B11" s="8">
        <f>B7*B9</f>
        <v/>
      </c>
      <c r="C11" s="5" t="inlineStr">
        <is>
          <t>USD</t>
        </is>
      </c>
      <c r="D11" s="2">
        <f>Revenue × Net Margin</f>
        <v/>
      </c>
    </row>
    <row r="13">
      <c r="A13" s="3" t="inlineStr">
        <is>
          <t>OPERATIONAL METRICS</t>
        </is>
      </c>
    </row>
    <row r="14">
      <c r="A14" s="4" t="inlineStr">
        <is>
          <t>Metric</t>
        </is>
      </c>
      <c r="B14" s="4" t="inlineStr">
        <is>
          <t>Value</t>
        </is>
      </c>
      <c r="C14" s="4" t="inlineStr">
        <is>
          <t>Unit</t>
        </is>
      </c>
      <c r="D14" s="4" t="inlineStr">
        <is>
          <t>Notes</t>
        </is>
      </c>
    </row>
    <row r="15">
      <c r="A15" s="5" t="inlineStr">
        <is>
          <t>Annual Projects Completed</t>
        </is>
      </c>
      <c r="B15" s="9" t="n">
        <v>2100</v>
      </c>
      <c r="C15" s="5" t="inlineStr">
        <is>
          <t>#</t>
        </is>
      </c>
      <c r="D15" s="2" t="inlineStr">
        <is>
          <t>Projects delivered per year</t>
        </is>
      </c>
    </row>
    <row r="16">
      <c r="A16" s="5" t="inlineStr">
        <is>
          <t>Annual Bids Submitted</t>
        </is>
      </c>
      <c r="B16" s="9" t="n">
        <v>11700</v>
      </c>
      <c r="C16" s="5" t="inlineStr">
        <is>
          <t>#</t>
        </is>
      </c>
      <c r="D16" s="2" t="inlineStr">
        <is>
          <t>Total bids per year</t>
        </is>
      </c>
    </row>
    <row r="17">
      <c r="A17" s="5" t="inlineStr">
        <is>
          <t>Current Win Rate</t>
        </is>
      </c>
      <c r="B17" s="10">
        <f>B15/B16</f>
        <v/>
      </c>
      <c r="C17" s="5" t="inlineStr">
        <is>
          <t>%</t>
        </is>
      </c>
      <c r="D17" s="2">
        <f>Projects / Bids</f>
        <v/>
      </c>
    </row>
    <row r="18">
      <c r="A18" s="5" t="inlineStr">
        <is>
          <t>Average Project Value</t>
        </is>
      </c>
      <c r="B18" s="6" t="n">
        <v>250000</v>
      </c>
      <c r="C18" s="5" t="inlineStr">
        <is>
          <t>USD</t>
        </is>
      </c>
      <c r="D18" s="2" t="inlineStr">
        <is>
          <t>Average commercial roofing project</t>
        </is>
      </c>
    </row>
    <row r="19">
      <c r="A19" s="5" t="inlineStr">
        <is>
          <t>Average Project Duration</t>
        </is>
      </c>
      <c r="B19" s="9" t="n">
        <v>45</v>
      </c>
      <c r="C19" s="5" t="inlineStr">
        <is>
          <t>days</t>
        </is>
      </c>
      <c r="D19" s="2" t="inlineStr">
        <is>
          <t>Average project timeline</t>
        </is>
      </c>
    </row>
    <row r="20">
      <c r="A20" s="5" t="inlineStr">
        <is>
          <t>Daily Revenue per Project</t>
        </is>
      </c>
      <c r="B20" s="8">
        <f>B18/B19</f>
        <v/>
      </c>
      <c r="C20" s="5" t="inlineStr">
        <is>
          <t>USD</t>
        </is>
      </c>
      <c r="D20" s="2">
        <f>Avg Project Value / Duration</f>
        <v/>
      </c>
    </row>
    <row r="22">
      <c r="A22" s="3" t="inlineStr">
        <is>
          <t>WORKFORCE METRICS</t>
        </is>
      </c>
    </row>
    <row r="23">
      <c r="A23" s="4" t="inlineStr">
        <is>
          <t>Metric</t>
        </is>
      </c>
      <c r="B23" s="4" t="inlineStr">
        <is>
          <t>Value</t>
        </is>
      </c>
      <c r="C23" s="4" t="inlineStr">
        <is>
          <t>Unit</t>
        </is>
      </c>
      <c r="D23" s="4" t="inlineStr">
        <is>
          <t>Notes</t>
        </is>
      </c>
    </row>
    <row r="24">
      <c r="A24" s="5" t="inlineStr">
        <is>
          <t>Estimators</t>
        </is>
      </c>
      <c r="B24" s="9" t="n">
        <v>25</v>
      </c>
      <c r="C24" s="5" t="inlineStr">
        <is>
          <t>#</t>
        </is>
      </c>
      <c r="D24" s="2" t="inlineStr">
        <is>
          <t>Full-time estimating staff</t>
        </is>
      </c>
    </row>
    <row r="25">
      <c r="A25" s="5" t="inlineStr">
        <is>
          <t>Project Managers</t>
        </is>
      </c>
      <c r="B25" s="9" t="n">
        <v>45</v>
      </c>
      <c r="C25" s="5" t="inlineStr">
        <is>
          <t>#</t>
        </is>
      </c>
      <c r="D25" s="2" t="inlineStr">
        <is>
          <t>Full-time PM staff</t>
        </is>
      </c>
    </row>
    <row r="26">
      <c r="A26" s="5" t="inlineStr">
        <is>
          <t>Sales Representatives</t>
        </is>
      </c>
      <c r="B26" s="9" t="n">
        <v>30</v>
      </c>
      <c r="C26" s="5" t="inlineStr">
        <is>
          <t>#</t>
        </is>
      </c>
      <c r="D26" s="2" t="inlineStr">
        <is>
          <t>Full-time sales staff</t>
        </is>
      </c>
    </row>
    <row r="27">
      <c r="A27" s="5" t="inlineStr">
        <is>
          <t>Hourly Labor Cost (Loaded)</t>
        </is>
      </c>
      <c r="B27" s="6" t="n">
        <v>75</v>
      </c>
      <c r="C27" s="5" t="inlineStr">
        <is>
          <t>USD/hr</t>
        </is>
      </c>
      <c r="D27" s="2" t="inlineStr">
        <is>
          <t>Fully loaded labor cost</t>
        </is>
      </c>
    </row>
    <row r="28">
      <c r="A28" s="5" t="inlineStr">
        <is>
          <t>Working Hours per Year</t>
        </is>
      </c>
      <c r="B28" s="9" t="n">
        <v>2080</v>
      </c>
      <c r="C28" s="5" t="inlineStr">
        <is>
          <t>hrs</t>
        </is>
      </c>
      <c r="D28" s="2" t="inlineStr">
        <is>
          <t>Standard annual hours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20" customWidth="1" min="3" max="3"/>
    <col width="40" customWidth="1" min="4" max="4"/>
  </cols>
  <sheetData>
    <row r="1">
      <c r="A1" s="11" t="inlineStr">
        <is>
          <t>PLATFORM 0: AI MARKET EXPANSION ENGINE</t>
        </is>
      </c>
    </row>
    <row r="2">
      <c r="A2" s="12" t="inlineStr">
        <is>
          <t>Autonomous Agent Swarm for Lead Generation and Sales Acceleration</t>
        </is>
      </c>
    </row>
    <row r="3">
      <c r="A3" s="2" t="inlineStr">
        <is>
          <t>Instructions: Modify YELLOW input cells to see how changes affect calculated results (GREEN cells).</t>
        </is>
      </c>
    </row>
    <row r="5">
      <c r="A5" s="3" t="inlineStr">
        <is>
          <t>INPUT PARAMETERS</t>
        </is>
      </c>
    </row>
    <row r="6">
      <c r="A6" s="4" t="inlineStr">
        <is>
          <t>Parameter</t>
        </is>
      </c>
      <c r="B6" s="4" t="inlineStr">
        <is>
          <t>Value</t>
        </is>
      </c>
      <c r="C6" s="4" t="inlineStr">
        <is>
          <t>Unit</t>
        </is>
      </c>
      <c r="D6" s="4" t="inlineStr">
        <is>
          <t>Description</t>
        </is>
      </c>
    </row>
    <row r="7">
      <c r="A7" s="5" t="inlineStr">
        <is>
          <t>Annual Leads Generated</t>
        </is>
      </c>
      <c r="B7" s="9" t="n">
        <v>10000</v>
      </c>
      <c r="C7" s="5" t="inlineStr">
        <is>
          <t>#</t>
        </is>
      </c>
      <c r="D7" s="2" t="inlineStr">
        <is>
          <t>Target leads from AI agent swarm</t>
        </is>
      </c>
    </row>
    <row r="8">
      <c r="A8" s="5" t="inlineStr">
        <is>
          <t>Lead-to-Meeting Conversion Rate</t>
        </is>
      </c>
      <c r="B8" s="7" t="n">
        <v>0.12</v>
      </c>
      <c r="C8" s="5" t="inlineStr">
        <is>
          <t>%</t>
        </is>
      </c>
      <c r="D8" s="2" t="inlineStr">
        <is>
          <t>12% of leads become meetings</t>
        </is>
      </c>
    </row>
    <row r="9">
      <c r="A9" s="5" t="inlineStr">
        <is>
          <t>Meeting-to-Close Rate</t>
        </is>
      </c>
      <c r="B9" s="7" t="n">
        <v>0.2</v>
      </c>
      <c r="C9" s="5" t="inlineStr">
        <is>
          <t>%</t>
        </is>
      </c>
      <c r="D9" s="2" t="inlineStr">
        <is>
          <t>20% of meetings become projects</t>
        </is>
      </c>
    </row>
    <row r="10">
      <c r="A10" s="5" t="inlineStr">
        <is>
          <t>Cost Per Lead (AI)</t>
        </is>
      </c>
      <c r="B10" s="6" t="n">
        <v>120</v>
      </c>
      <c r="C10" s="5" t="inlineStr">
        <is>
          <t>USD</t>
        </is>
      </c>
      <c r="D10" s="2" t="inlineStr">
        <is>
          <t>Reduced from $350 baseline</t>
        </is>
      </c>
    </row>
    <row r="11">
      <c r="A11" s="5" t="inlineStr">
        <is>
          <t>Cost Per Lead (Baseline)</t>
        </is>
      </c>
      <c r="B11" s="6" t="n">
        <v>350</v>
      </c>
      <c r="C11" s="5" t="inlineStr">
        <is>
          <t>USD</t>
        </is>
      </c>
      <c r="D11" s="2" t="inlineStr">
        <is>
          <t>Current cost per lead</t>
        </is>
      </c>
    </row>
    <row r="12">
      <c r="A12" s="5" t="inlineStr">
        <is>
          <t>Maintenance Plan Attach Rate</t>
        </is>
      </c>
      <c r="B12" s="7" t="n">
        <v>0.25</v>
      </c>
      <c r="C12" s="5" t="inlineStr">
        <is>
          <t>%</t>
        </is>
      </c>
      <c r="D12" s="2" t="inlineStr">
        <is>
          <t>25% of new projects add maintenance</t>
        </is>
      </c>
    </row>
    <row r="13">
      <c r="A13" s="5" t="inlineStr">
        <is>
          <t>Maintenance Plan Annual Value</t>
        </is>
      </c>
      <c r="B13" s="6" t="n">
        <v>25000</v>
      </c>
      <c r="C13" s="5" t="inlineStr">
        <is>
          <t>USD</t>
        </is>
      </c>
      <c r="D13" s="2" t="inlineStr">
        <is>
          <t>Average annual maintenance contract</t>
        </is>
      </c>
    </row>
    <row r="14">
      <c r="A14" s="5" t="inlineStr">
        <is>
          <t>Sales Cycle Reduction (Days)</t>
        </is>
      </c>
      <c r="B14" s="9" t="n">
        <v>14</v>
      </c>
      <c r="C14" s="5" t="inlineStr">
        <is>
          <t>days</t>
        </is>
      </c>
      <c r="D14" s="2" t="inlineStr">
        <is>
          <t>Days saved in sales cycle</t>
        </is>
      </c>
    </row>
    <row r="16">
      <c r="A16" s="3" t="inlineStr">
        <is>
          <t>CALCULATED KPIs (Formulas Reference Inputs Above)</t>
        </is>
      </c>
    </row>
    <row r="17">
      <c r="A17" s="4" t="inlineStr">
        <is>
          <t>KPI</t>
        </is>
      </c>
      <c r="B17" s="4" t="inlineStr">
        <is>
          <t>Formula</t>
        </is>
      </c>
      <c r="C17" s="4" t="inlineStr">
        <is>
          <t>Result</t>
        </is>
      </c>
      <c r="D17" s="4" t="inlineStr">
        <is>
          <t>Unit</t>
        </is>
      </c>
    </row>
    <row r="18">
      <c r="A18" s="5" t="inlineStr">
        <is>
          <t>Qualified Meetings</t>
        </is>
      </c>
      <c r="B18" s="13" t="inlineStr">
        <is>
          <t>Leads × Lead-to-Meeting Rate</t>
        </is>
      </c>
      <c r="C18" s="10">
        <f>B7*B8</f>
        <v/>
      </c>
      <c r="D18" s="5" t="inlineStr">
        <is>
          <t>%</t>
        </is>
      </c>
    </row>
    <row r="19">
      <c r="A19" s="5" t="inlineStr">
        <is>
          <t>New Projects Won</t>
        </is>
      </c>
      <c r="B19" s="13" t="inlineStr">
        <is>
          <t>Meetings × Meeting-to-Close Rate</t>
        </is>
      </c>
      <c r="C19" s="14">
        <f>C18*B9</f>
        <v/>
      </c>
      <c r="D19" s="5" t="inlineStr">
        <is>
          <t>#</t>
        </is>
      </c>
    </row>
    <row r="20">
      <c r="A20" s="5" t="inlineStr">
        <is>
          <t>Gross Revenue from New Projects</t>
        </is>
      </c>
      <c r="B20" s="13" t="inlineStr">
        <is>
          <t>Projects × Avg Project Value</t>
        </is>
      </c>
      <c r="C20" s="8">
        <f>C19*'Company Baseline'!B18</f>
        <v/>
      </c>
      <c r="D20" s="5" t="inlineStr">
        <is>
          <t>USD</t>
        </is>
      </c>
    </row>
    <row r="21">
      <c r="A21" s="5" t="inlineStr">
        <is>
          <t>Net Revenue Contribution</t>
        </is>
      </c>
      <c r="B21" s="13" t="inlineStr">
        <is>
          <t>Gross Revenue × Net Margin</t>
        </is>
      </c>
      <c r="C21" s="8">
        <f>C20*'Company Baseline'!B9</f>
        <v/>
      </c>
      <c r="D21" s="5" t="inlineStr">
        <is>
          <t>USD</t>
        </is>
      </c>
    </row>
    <row r="22">
      <c r="A22" s="5" t="inlineStr">
        <is>
          <t>Maintenance Contracts Sold</t>
        </is>
      </c>
      <c r="B22" s="13" t="inlineStr">
        <is>
          <t>Projects × Attach Rate</t>
        </is>
      </c>
      <c r="C22" s="14">
        <f>C19*B12</f>
        <v/>
      </c>
      <c r="D22" s="5" t="inlineStr">
        <is>
          <t>#</t>
        </is>
      </c>
    </row>
    <row r="23">
      <c r="A23" s="5" t="inlineStr">
        <is>
          <t>Maintenance Revenue</t>
        </is>
      </c>
      <c r="B23" s="13" t="inlineStr">
        <is>
          <t>Contracts × Annual Value</t>
        </is>
      </c>
      <c r="C23" s="8">
        <f>C22*B13</f>
        <v/>
      </c>
      <c r="D23" s="5" t="inlineStr">
        <is>
          <t>USD</t>
        </is>
      </c>
    </row>
    <row r="24">
      <c r="A24" s="5" t="inlineStr">
        <is>
          <t>Lead Cost Savings</t>
        </is>
      </c>
      <c r="B24" s="13" t="inlineStr">
        <is>
          <t>(Baseline CPL - AI CPL) × Leads</t>
        </is>
      </c>
      <c r="C24" s="8">
        <f>(B11-B10)*B7</f>
        <v/>
      </c>
      <c r="D24" s="5" t="inlineStr">
        <is>
          <t>USD</t>
        </is>
      </c>
    </row>
    <row r="25">
      <c r="A25" s="5" t="inlineStr">
        <is>
          <t>Cash Flow Acceleration</t>
        </is>
      </c>
      <c r="B25" s="13" t="inlineStr">
        <is>
          <t>Projects × Days Saved × Daily Rev</t>
        </is>
      </c>
      <c r="C25" s="8">
        <f>C19*B14*'Company Baseline'!B20</f>
        <v/>
      </c>
      <c r="D25" s="5" t="inlineStr">
        <is>
          <t>USD</t>
        </is>
      </c>
    </row>
    <row r="27">
      <c r="A27" s="3" t="inlineStr">
        <is>
          <t>FINANCIAL IMPACT SUMMARY</t>
        </is>
      </c>
    </row>
    <row r="28">
      <c r="A28" s="4" t="inlineStr">
        <is>
          <t>Benefit Category</t>
        </is>
      </c>
      <c r="B28" s="4" t="inlineStr">
        <is>
          <t>Formula Reference</t>
        </is>
      </c>
      <c r="C28" s="4" t="inlineStr">
        <is>
          <t>Annual Value</t>
        </is>
      </c>
    </row>
    <row r="29">
      <c r="A29" s="5" t="inlineStr">
        <is>
          <t>Revenue Growth - New Projects</t>
        </is>
      </c>
      <c r="B29" s="13">
        <f>Net Revenue Contribution (C21)</f>
        <v/>
      </c>
      <c r="C29" s="8">
        <f>C21</f>
        <v/>
      </c>
    </row>
    <row r="30">
      <c r="A30" s="5" t="inlineStr">
        <is>
          <t>Revenue Growth - Maintenance</t>
        </is>
      </c>
      <c r="B30" s="13">
        <f>Maintenance Revenue (C23)</f>
        <v/>
      </c>
      <c r="C30" s="8">
        <f>C23</f>
        <v/>
      </c>
    </row>
    <row r="31">
      <c r="A31" s="5" t="inlineStr">
        <is>
          <t>Cost Reduction - Lead Savings</t>
        </is>
      </c>
      <c r="B31" s="13">
        <f>Lead Cost Savings (C24)</f>
        <v/>
      </c>
      <c r="C31" s="8">
        <f>C24</f>
        <v/>
      </c>
    </row>
    <row r="32">
      <c r="A32" s="5" t="inlineStr">
        <is>
          <t>Cash Flow - Acceleration</t>
        </is>
      </c>
      <c r="B32" s="13">
        <f>Cash Flow Acceleration (C25)</f>
        <v/>
      </c>
      <c r="C32" s="8">
        <f>C25</f>
        <v/>
      </c>
    </row>
    <row r="33">
      <c r="A33" s="5" t="inlineStr">
        <is>
          <t>Risk Mitigation (Estimated)</t>
        </is>
      </c>
      <c r="B33" s="13" t="inlineStr">
        <is>
          <t>5% of revenue growth</t>
        </is>
      </c>
      <c r="C33" s="6" t="n">
        <v>500000</v>
      </c>
    </row>
    <row r="34">
      <c r="A34" s="15" t="inlineStr">
        <is>
          <t>TOTAL PLATFORM 0 BENEFIT</t>
        </is>
      </c>
      <c r="B34" s="5">
        <f>SUM of above</f>
        <v/>
      </c>
      <c r="C34" s="16">
        <f>SUM(C29:C33)</f>
        <v/>
      </c>
    </row>
    <row r="36">
      <c r="A36" s="3" t="inlineStr">
        <is>
          <t>INVESTMENT &amp; ROI ANALYSIS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Notes</t>
        </is>
      </c>
    </row>
    <row r="38">
      <c r="A38" s="5" t="inlineStr">
        <is>
          <t>Platform Development Cost</t>
        </is>
      </c>
      <c r="B38" s="6" t="n">
        <v>1200000</v>
      </c>
      <c r="C38" s="2" t="inlineStr">
        <is>
          <t>One-time investment</t>
        </is>
      </c>
    </row>
    <row r="39">
      <c r="A39" s="5" t="inlineStr">
        <is>
          <t>Annual Data Subscription</t>
        </is>
      </c>
      <c r="B39" s="6" t="n">
        <v>410000</v>
      </c>
      <c r="C39" s="2" t="inlineStr">
        <is>
          <t>Ongoing annual cost</t>
        </is>
      </c>
    </row>
    <row r="40">
      <c r="A40" s="5" t="inlineStr">
        <is>
          <t>Total Year 1 Investment</t>
        </is>
      </c>
      <c r="B40" s="8">
        <f>B38+B39</f>
        <v/>
      </c>
      <c r="C40" s="2" t="inlineStr">
        <is>
          <t>Development + First Year Data</t>
        </is>
      </c>
    </row>
    <row r="41">
      <c r="A41" s="5" t="inlineStr">
        <is>
          <t>Annual Benefit (from above)</t>
        </is>
      </c>
      <c r="B41" s="8">
        <f>C34</f>
        <v/>
      </c>
      <c r="C41" s="2" t="inlineStr">
        <is>
          <t>Total Platform 0 Benefit</t>
        </is>
      </c>
    </row>
    <row r="42">
      <c r="A42" s="5" t="inlineStr">
        <is>
          <t>Net Year 1 Benefit</t>
        </is>
      </c>
      <c r="B42" s="8">
        <f>B41-B40</f>
        <v/>
      </c>
      <c r="C42" s="2" t="inlineStr">
        <is>
          <t>Benefit minus Investment</t>
        </is>
      </c>
    </row>
    <row r="43">
      <c r="A43" s="5" t="inlineStr">
        <is>
          <t>Year 1 ROI</t>
        </is>
      </c>
      <c r="B43" s="10">
        <f>(B41-B40)/B40</f>
        <v/>
      </c>
      <c r="C43" s="2" t="inlineStr">
        <is>
          <t>Net Benefit / Investment</t>
        </is>
      </c>
    </row>
    <row r="44">
      <c r="A44" s="5" t="inlineStr">
        <is>
          <t>Payback Period (Months)</t>
        </is>
      </c>
      <c r="B44" s="17">
        <f>B40/B41*12</f>
        <v/>
      </c>
      <c r="C44" s="2" t="inlineStr">
        <is>
          <t>Investment / Monthly Benefit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>
      <c r="A1" s="18" t="inlineStr">
        <is>
          <t>PLATFORM 1: AI SALES INTELLIGENCE</t>
        </is>
      </c>
    </row>
    <row r="2">
      <c r="A2" s="12" t="inlineStr">
        <is>
          <t>Intelligent Bid Selection and Competitive Analysis</t>
        </is>
      </c>
    </row>
    <row r="3">
      <c r="A3" s="2" t="inlineStr">
        <is>
          <t>Instructions: Modify YELLOW input cells to see how changes affect calculated results (GREEN cells).</t>
        </is>
      </c>
    </row>
    <row r="5">
      <c r="A5" s="3" t="inlineStr">
        <is>
          <t>INPUT PARAMETERS</t>
        </is>
      </c>
    </row>
    <row r="6">
      <c r="A6" s="4" t="inlineStr">
        <is>
          <t>Parameter</t>
        </is>
      </c>
      <c r="B6" s="4" t="inlineStr">
        <is>
          <t>Value</t>
        </is>
      </c>
      <c r="C6" s="4" t="inlineStr">
        <is>
          <t>Unit</t>
        </is>
      </c>
      <c r="D6" s="4" t="inlineStr">
        <is>
          <t>Description</t>
        </is>
      </c>
    </row>
    <row r="7">
      <c r="A7" s="5" t="inlineStr">
        <is>
          <t>Win Rate Improvement</t>
        </is>
      </c>
      <c r="B7" s="9" t="n">
        <v>11</v>
      </c>
      <c r="C7" s="5" t="inlineStr">
        <is>
          <t>pts</t>
        </is>
      </c>
      <c r="D7" s="2" t="inlineStr">
        <is>
          <t>Percentage points (22% → 33%)</t>
        </is>
      </c>
    </row>
    <row r="8">
      <c r="A8" s="5" t="inlineStr">
        <is>
          <t>Bid Evaluation Time - Current</t>
        </is>
      </c>
      <c r="B8" s="19" t="n">
        <v>3</v>
      </c>
      <c r="C8" s="5" t="inlineStr">
        <is>
          <t>hrs</t>
        </is>
      </c>
      <c r="D8" s="2" t="inlineStr">
        <is>
          <t>Hours per bid currently</t>
        </is>
      </c>
    </row>
    <row r="9">
      <c r="A9" s="5" t="inlineStr">
        <is>
          <t>Bid Evaluation Time - With AI</t>
        </is>
      </c>
      <c r="B9" s="19" t="n">
        <v>0.5</v>
      </c>
      <c r="C9" s="5" t="inlineStr">
        <is>
          <t>hrs</t>
        </is>
      </c>
      <c r="D9" s="2" t="inlineStr">
        <is>
          <t>Hours per bid with AI</t>
        </is>
      </c>
    </row>
    <row r="10">
      <c r="A10" s="5" t="inlineStr">
        <is>
          <t>Bid Assignment Attribution</t>
        </is>
      </c>
      <c r="B10" s="7" t="n">
        <v>0.55</v>
      </c>
      <c r="C10" s="5" t="inlineStr">
        <is>
          <t>%</t>
        </is>
      </c>
      <c r="D10" s="2" t="inlineStr">
        <is>
          <t>55% of improvement from bid assignment</t>
        </is>
      </c>
    </row>
    <row r="11">
      <c r="A11" s="5" t="inlineStr">
        <is>
          <t>Competitor Analysis Attribution</t>
        </is>
      </c>
      <c r="B11" s="7" t="n">
        <v>0.27</v>
      </c>
      <c r="C11" s="5" t="inlineStr">
        <is>
          <t>%</t>
        </is>
      </c>
      <c r="D11" s="2" t="inlineStr">
        <is>
          <t>27% from competitor analysis</t>
        </is>
      </c>
    </row>
    <row r="12">
      <c r="A12" s="5" t="inlineStr">
        <is>
          <t>Competitor Scouting Attribution</t>
        </is>
      </c>
      <c r="B12" s="7" t="n">
        <v>0.18</v>
      </c>
      <c r="C12" s="5" t="inlineStr">
        <is>
          <t>%</t>
        </is>
      </c>
      <c r="D12" s="2" t="inlineStr">
        <is>
          <t>18% from competitor scouting</t>
        </is>
      </c>
    </row>
    <row r="14">
      <c r="A14" s="3" t="inlineStr">
        <is>
          <t>CALCULATED KPIs</t>
        </is>
      </c>
    </row>
    <row r="15">
      <c r="A15" s="4" t="inlineStr">
        <is>
          <t>KPI</t>
        </is>
      </c>
      <c r="B15" s="4" t="inlineStr">
        <is>
          <t>Formula Description</t>
        </is>
      </c>
      <c r="C15" s="4" t="inlineStr">
        <is>
          <t>Result</t>
        </is>
      </c>
      <c r="D15" s="4" t="inlineStr">
        <is>
          <t>Unit</t>
        </is>
      </c>
    </row>
    <row r="16">
      <c r="A16" s="5" t="inlineStr">
        <is>
          <t>Current Win Rate</t>
        </is>
      </c>
      <c r="B16" s="13" t="inlineStr">
        <is>
          <t>From Company Baseline</t>
        </is>
      </c>
      <c r="C16" s="10">
        <f>'Company Baseline'!B17</f>
        <v/>
      </c>
      <c r="D16" s="5" t="inlineStr">
        <is>
          <t>%</t>
        </is>
      </c>
    </row>
    <row r="17">
      <c r="A17" s="5" t="inlineStr">
        <is>
          <t>New Win Rate</t>
        </is>
      </c>
      <c r="B17" s="13" t="inlineStr">
        <is>
          <t>Current + Improvement pts</t>
        </is>
      </c>
      <c r="C17" s="10">
        <f>C16+B7/100</f>
        <v/>
      </c>
      <c r="D17" s="5" t="inlineStr">
        <is>
          <t>%</t>
        </is>
      </c>
    </row>
    <row r="18">
      <c r="A18" s="5" t="inlineStr">
        <is>
          <t>Additional Wins per Year</t>
        </is>
      </c>
      <c r="B18" s="13" t="inlineStr">
        <is>
          <t>Bids × Improvement %</t>
        </is>
      </c>
      <c r="C18" s="14">
        <f>'Company Baseline'!B16*B7/100</f>
        <v/>
      </c>
      <c r="D18" s="5" t="inlineStr">
        <is>
          <t>#</t>
        </is>
      </c>
    </row>
    <row r="19">
      <c r="A19" s="5" t="inlineStr">
        <is>
          <t>Time Saved per Bid (hrs)</t>
        </is>
      </c>
      <c r="B19" s="13" t="inlineStr">
        <is>
          <t>Current - AI Time</t>
        </is>
      </c>
      <c r="C19" s="14">
        <f>B8-B9</f>
        <v/>
      </c>
      <c r="D19" s="5" t="inlineStr">
        <is>
          <t>hrs</t>
        </is>
      </c>
    </row>
    <row r="20">
      <c r="A20" s="5" t="inlineStr">
        <is>
          <t>Total Hours Saved per Year</t>
        </is>
      </c>
      <c r="B20" s="13" t="inlineStr">
        <is>
          <t>Bids × Hours Saved</t>
        </is>
      </c>
      <c r="C20" s="14">
        <f>'Company Baseline'!B16*C19</f>
        <v/>
      </c>
      <c r="D20" s="5" t="inlineStr">
        <is>
          <t>hrs</t>
        </is>
      </c>
    </row>
    <row r="21">
      <c r="A21" s="5" t="inlineStr">
        <is>
          <t>Revenue per Additional Win</t>
        </is>
      </c>
      <c r="B21" s="13" t="inlineStr">
        <is>
          <t>Avg Project × Gross Margin</t>
        </is>
      </c>
      <c r="C21" s="8">
        <f>'Company Baseline'!B18*'Company Baseline'!B8</f>
        <v/>
      </c>
      <c r="D21" s="5" t="inlineStr">
        <is>
          <t>USD</t>
        </is>
      </c>
    </row>
    <row r="22">
      <c r="A22" s="5" t="inlineStr">
        <is>
          <t>Total Revenue from Wins</t>
        </is>
      </c>
      <c r="B22" s="13" t="inlineStr">
        <is>
          <t>Additional Wins × Revenue Each</t>
        </is>
      </c>
      <c r="C22" s="8">
        <f>C18*C21</f>
        <v/>
      </c>
      <c r="D22" s="5" t="inlineStr">
        <is>
          <t>USD</t>
        </is>
      </c>
    </row>
    <row r="23">
      <c r="A23" s="5" t="inlineStr">
        <is>
          <t>Labor Cost Savings</t>
        </is>
      </c>
      <c r="B23" s="13" t="inlineStr">
        <is>
          <t>Hours Saved × Hourly Rate</t>
        </is>
      </c>
      <c r="C23" s="8">
        <f>C20*'Company Baseline'!B27</f>
        <v/>
      </c>
      <c r="D23" s="5" t="inlineStr">
        <is>
          <t>USD</t>
        </is>
      </c>
    </row>
    <row r="25">
      <c r="A25" s="3" t="inlineStr">
        <is>
          <t>USE CASE FINANCIAL BREAKDOWN</t>
        </is>
      </c>
    </row>
    <row r="26">
      <c r="A26" s="4" t="inlineStr">
        <is>
          <t>Use Case</t>
        </is>
      </c>
      <c r="B26" s="4" t="inlineStr">
        <is>
          <t>Attribution %</t>
        </is>
      </c>
      <c r="C26" s="4" t="inlineStr">
        <is>
          <t>Revenue Impact</t>
        </is>
      </c>
      <c r="D26" s="4" t="inlineStr">
        <is>
          <t>Labor Savings</t>
        </is>
      </c>
      <c r="E26" s="4" t="inlineStr">
        <is>
          <t>Total</t>
        </is>
      </c>
    </row>
    <row r="27">
      <c r="A27" s="5" t="inlineStr">
        <is>
          <t>Bid Assignment AI</t>
        </is>
      </c>
      <c r="B27" s="10">
        <f>B10</f>
        <v/>
      </c>
      <c r="C27" s="8">
        <f>C22*B10</f>
        <v/>
      </c>
      <c r="D27" s="8">
        <f>C23*0.3</f>
        <v/>
      </c>
      <c r="E27" s="8">
        <f>C27+D27</f>
        <v/>
      </c>
    </row>
    <row r="28">
      <c r="A28" s="5" t="inlineStr">
        <is>
          <t>Competitor Proposal Analysis</t>
        </is>
      </c>
      <c r="B28" s="10">
        <f>B11</f>
        <v/>
      </c>
      <c r="C28" s="8">
        <f>C22*B11</f>
        <v/>
      </c>
      <c r="D28" s="8">
        <f>C23*0.33</f>
        <v/>
      </c>
      <c r="E28" s="8">
        <f>C28+D28</f>
        <v/>
      </c>
    </row>
    <row r="29">
      <c r="A29" s="5" t="inlineStr">
        <is>
          <t>Competitor Info Scouting</t>
        </is>
      </c>
      <c r="B29" s="10">
        <f>B12</f>
        <v/>
      </c>
      <c r="C29" s="8">
        <f>C22*B12</f>
        <v/>
      </c>
      <c r="D29" s="8">
        <f>C23*0.37</f>
        <v/>
      </c>
      <c r="E29" s="8">
        <f>C29+D29</f>
        <v/>
      </c>
    </row>
    <row r="30">
      <c r="A30" s="15" t="inlineStr">
        <is>
          <t>TOTAL PLATFORM 1 BENEFIT</t>
        </is>
      </c>
      <c r="B30" s="20" t="inlineStr">
        <is>
          <t>100%</t>
        </is>
      </c>
      <c r="C30" s="16">
        <f>SUM(C27:C29)</f>
        <v/>
      </c>
      <c r="D30" s="16">
        <f>SUM(D27:D29)</f>
        <v/>
      </c>
      <c r="E30" s="16">
        <f>SUM(E27:E29)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1" t="inlineStr">
        <is>
          <t>PLATFORM 2: AI ESTIMATION SUITE</t>
        </is>
      </c>
    </row>
    <row r="2">
      <c r="A2" s="12" t="inlineStr">
        <is>
          <t>Automated Proposal Creation and Specification Analysis</t>
        </is>
      </c>
    </row>
    <row r="3">
      <c r="A3" s="2" t="inlineStr">
        <is>
          <t>Instructions: Modify YELLOW input cells. GREEN cells calculate automatically.</t>
        </is>
      </c>
    </row>
    <row r="5">
      <c r="A5" s="3" t="inlineStr">
        <is>
          <t>INPUT PARAMETERS</t>
        </is>
      </c>
    </row>
    <row r="6">
      <c r="A6" s="4" t="inlineStr">
        <is>
          <t>Parameter</t>
        </is>
      </c>
      <c r="B6" s="4" t="inlineStr">
        <is>
          <t>Current</t>
        </is>
      </c>
      <c r="C6" s="4" t="inlineStr">
        <is>
          <t>With AI</t>
        </is>
      </c>
      <c r="D6" s="4" t="inlineStr">
        <is>
          <t>Improvement</t>
        </is>
      </c>
      <c r="E6" s="4" t="inlineStr">
        <is>
          <t>Unit</t>
        </is>
      </c>
    </row>
    <row r="7">
      <c r="A7" s="5" t="inlineStr">
        <is>
          <t>Proposal Creation Time</t>
        </is>
      </c>
      <c r="B7" s="22" t="n">
        <v>2.5</v>
      </c>
      <c r="C7" s="22" t="n">
        <v>0.33</v>
      </c>
      <c r="D7" s="10">
        <f>1-C7/B7</f>
        <v/>
      </c>
      <c r="E7" s="5" t="inlineStr">
        <is>
          <t>hrs</t>
        </is>
      </c>
    </row>
    <row r="8">
      <c r="A8" s="5" t="inlineStr">
        <is>
          <t>Spec Review Time</t>
        </is>
      </c>
      <c r="B8" s="22" t="n">
        <v>3</v>
      </c>
      <c r="C8" s="22" t="n">
        <v>0.5</v>
      </c>
      <c r="D8" s="10">
        <f>1-C8/B8</f>
        <v/>
      </c>
      <c r="E8" s="5" t="inlineStr">
        <is>
          <t>hrs</t>
        </is>
      </c>
    </row>
    <row r="9">
      <c r="A9" s="5" t="inlineStr">
        <is>
          <t>Estimate Error Rate</t>
        </is>
      </c>
      <c r="B9" s="7" t="n">
        <v>0.08</v>
      </c>
      <c r="C9" s="7" t="n">
        <v>0.02</v>
      </c>
      <c r="D9" s="10">
        <f>1-C9/B9</f>
        <v/>
      </c>
      <c r="E9" s="5" t="inlineStr">
        <is>
          <t>%</t>
        </is>
      </c>
    </row>
    <row r="10">
      <c r="A10" s="5" t="inlineStr">
        <is>
          <t>Technical QA Time</t>
        </is>
      </c>
      <c r="B10" s="22" t="n">
        <v>4</v>
      </c>
      <c r="C10" s="22" t="n">
        <v>0.25</v>
      </c>
      <c r="D10" s="10">
        <f>1-C10/B10</f>
        <v/>
      </c>
      <c r="E10" s="5" t="inlineStr">
        <is>
          <t>hrs</t>
        </is>
      </c>
    </row>
    <row r="11">
      <c r="A11" s="5" t="inlineStr">
        <is>
          <t>Proposals per Year</t>
        </is>
      </c>
      <c r="B11" s="9" t="n">
        <v>11700</v>
      </c>
      <c r="C11" s="9" t="n">
        <v>11700</v>
      </c>
      <c r="D11" s="23" t="inlineStr">
        <is>
          <t>N/A</t>
        </is>
      </c>
      <c r="E11" s="5" t="inlineStr">
        <is>
          <t>#</t>
        </is>
      </c>
    </row>
    <row r="13">
      <c r="A13" s="3" t="inlineStr">
        <is>
          <t>USE CASE FINANCIAL BREAKDOWN</t>
        </is>
      </c>
    </row>
    <row r="14">
      <c r="A14" s="4" t="inlineStr">
        <is>
          <t>Use Case</t>
        </is>
      </c>
      <c r="B14" s="4" t="inlineStr">
        <is>
          <t>Hours Saved</t>
        </is>
      </c>
      <c r="C14" s="4" t="inlineStr">
        <is>
          <t>Labor Savings</t>
        </is>
      </c>
      <c r="D14" s="4" t="inlineStr">
        <is>
          <t>Revenue Impact</t>
        </is>
      </c>
      <c r="E14" s="4" t="inlineStr">
        <is>
          <t>Risk Reduction</t>
        </is>
      </c>
      <c r="F14" s="4" t="inlineStr">
        <is>
          <t>Total</t>
        </is>
      </c>
    </row>
    <row r="15">
      <c r="A15" s="5" t="inlineStr">
        <is>
          <t>Proposal Creation</t>
        </is>
      </c>
      <c r="B15" s="14">
        <f>(B7-C7)*B11</f>
        <v/>
      </c>
      <c r="C15" s="8">
        <f>B15*'Company Baseline'!B27</f>
        <v/>
      </c>
      <c r="D15" s="6" t="n">
        <v>4585000</v>
      </c>
      <c r="E15" s="6" t="n">
        <v>0</v>
      </c>
      <c r="F15" s="8">
        <f>C15+D15+E15</f>
        <v/>
      </c>
    </row>
    <row r="16">
      <c r="A16" s="5" t="inlineStr">
        <is>
          <t>Specification Reviews</t>
        </is>
      </c>
      <c r="B16" s="14">
        <f>(B8-C8)*B11</f>
        <v/>
      </c>
      <c r="C16" s="8">
        <f>B16*'Company Baseline'!B27</f>
        <v/>
      </c>
      <c r="D16" s="6" t="n">
        <v>3780000</v>
      </c>
      <c r="E16" s="6" t="n">
        <v>700000</v>
      </c>
      <c r="F16" s="8">
        <f>C16+D16+E16</f>
        <v/>
      </c>
    </row>
    <row r="17">
      <c r="A17" s="5" t="inlineStr">
        <is>
          <t>Edge Estimate Reviews</t>
        </is>
      </c>
      <c r="B17" s="14">
        <f>B11*0.5</f>
        <v/>
      </c>
      <c r="C17" s="8">
        <f>B17*'Company Baseline'!B27</f>
        <v/>
      </c>
      <c r="D17" s="6" t="n">
        <v>4095000</v>
      </c>
      <c r="E17" s="6" t="n">
        <v>0</v>
      </c>
      <c r="F17" s="8">
        <f>C17+D17+E17</f>
        <v/>
      </c>
    </row>
    <row r="18">
      <c r="A18" s="5" t="inlineStr">
        <is>
          <t>Compare Quotes to Specs</t>
        </is>
      </c>
      <c r="B18" s="14">
        <f>B11*0.3</f>
        <v/>
      </c>
      <c r="C18" s="8">
        <f>B18*'Company Baseline'!B27</f>
        <v/>
      </c>
      <c r="D18" s="6" t="n">
        <v>0</v>
      </c>
      <c r="E18" s="6" t="n">
        <v>3240000</v>
      </c>
      <c r="F18" s="8">
        <f>C18+D18+E18</f>
        <v/>
      </c>
    </row>
    <row r="19">
      <c r="A19" s="5" t="inlineStr">
        <is>
          <t>Proposal Evaluation</t>
        </is>
      </c>
      <c r="B19" s="14">
        <f>B11*0.2</f>
        <v/>
      </c>
      <c r="C19" s="8">
        <f>B19*'Company Baseline'!B27</f>
        <v/>
      </c>
      <c r="D19" s="6" t="n">
        <v>1838000</v>
      </c>
      <c r="E19" s="6" t="n">
        <v>0</v>
      </c>
      <c r="F19" s="8">
        <f>C19+D19+E19</f>
        <v/>
      </c>
    </row>
    <row r="20">
      <c r="A20" s="5" t="inlineStr">
        <is>
          <t>Technical Questions</t>
        </is>
      </c>
      <c r="B20" s="14">
        <f>(B10-C10)*B11</f>
        <v/>
      </c>
      <c r="C20" s="8">
        <f>B20*'Company Baseline'!B27</f>
        <v/>
      </c>
      <c r="D20" s="6" t="n">
        <v>455000</v>
      </c>
      <c r="E20" s="6" t="n">
        <v>0</v>
      </c>
      <c r="F20" s="8">
        <f>C20+D20+E20</f>
        <v/>
      </c>
    </row>
    <row r="21">
      <c r="A21" s="15" t="inlineStr">
        <is>
          <t>TOTAL PLATFORM 2 BENEFIT</t>
        </is>
      </c>
      <c r="B21" s="24">
        <f>SUM(B15:B20)</f>
        <v/>
      </c>
      <c r="C21" s="16">
        <f>SUM(C15:C20)</f>
        <v/>
      </c>
      <c r="D21" s="16">
        <f>SUM(D15:D20)</f>
        <v/>
      </c>
      <c r="E21" s="16">
        <f>SUM(E15:E20)</f>
        <v/>
      </c>
      <c r="F21" s="16">
        <f>SUM(F15:F20)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>
      <c r="A1" s="25" t="inlineStr">
        <is>
          <t>PLATFORM 3: AI PROJECT MANAGEMENT</t>
        </is>
      </c>
    </row>
    <row r="2">
      <c r="A2" s="12" t="inlineStr">
        <is>
          <t>Seamless Project Delivery and Customer Experience</t>
        </is>
      </c>
    </row>
    <row r="3">
      <c r="A3" s="2" t="inlineStr">
        <is>
          <t>Instructions: Modify YELLOW input cells. GREEN cells calculate automatically.</t>
        </is>
      </c>
    </row>
    <row r="5">
      <c r="A5" s="3" t="inlineStr">
        <is>
          <t>INPUT PARAMETERS</t>
        </is>
      </c>
    </row>
    <row r="6">
      <c r="A6" s="4" t="inlineStr">
        <is>
          <t>Parameter</t>
        </is>
      </c>
      <c r="B6" s="4" t="inlineStr">
        <is>
          <t>Current</t>
        </is>
      </c>
      <c r="C6" s="4" t="inlineStr">
        <is>
          <t>With AI</t>
        </is>
      </c>
      <c r="D6" s="4" t="inlineStr">
        <is>
          <t>Improvement</t>
        </is>
      </c>
      <c r="E6" s="4" t="inlineStr">
        <is>
          <t>Unit</t>
        </is>
      </c>
    </row>
    <row r="7">
      <c r="A7" s="5" t="inlineStr">
        <is>
          <t>Schedule Creation Time</t>
        </is>
      </c>
      <c r="B7" s="9" t="n">
        <v>10</v>
      </c>
      <c r="C7" s="9" t="n">
        <v>2.5</v>
      </c>
      <c r="D7" s="10">
        <f>1-C7/B7</f>
        <v/>
      </c>
      <c r="E7" s="5" t="inlineStr">
        <is>
          <t>hrs</t>
        </is>
      </c>
    </row>
    <row r="8">
      <c r="A8" s="5" t="inlineStr">
        <is>
          <t>Project Delay (avg)</t>
        </is>
      </c>
      <c r="B8" s="9" t="n">
        <v>12</v>
      </c>
      <c r="C8" s="9" t="n">
        <v>3</v>
      </c>
      <c r="D8" s="10">
        <f>1-C8/B8</f>
        <v/>
      </c>
      <c r="E8" s="5" t="inlineStr">
        <is>
          <t>days</t>
        </is>
      </c>
    </row>
    <row r="9">
      <c r="A9" s="5" t="inlineStr">
        <is>
          <t>Variance Detection Time</t>
        </is>
      </c>
      <c r="B9" s="9" t="n">
        <v>30</v>
      </c>
      <c r="C9" s="9" t="n">
        <v>1</v>
      </c>
      <c r="D9" s="10">
        <f>1-C9/B9</f>
        <v/>
      </c>
      <c r="E9" s="5" t="inlineStr">
        <is>
          <t>days</t>
        </is>
      </c>
    </row>
    <row r="10">
      <c r="A10" s="5" t="inlineStr">
        <is>
          <t>Closeout Assembly Time</t>
        </is>
      </c>
      <c r="B10" s="9" t="n">
        <v>2</v>
      </c>
      <c r="C10" s="9" t="n">
        <v>0.5</v>
      </c>
      <c r="D10" s="10">
        <f>1-C10/B10</f>
        <v/>
      </c>
      <c r="E10" s="5" t="inlineStr">
        <is>
          <t>hrs</t>
        </is>
      </c>
    </row>
    <row r="11">
      <c r="A11" s="5" t="inlineStr">
        <is>
          <t>Report Creation Time</t>
        </is>
      </c>
      <c r="B11" s="9" t="n">
        <v>45</v>
      </c>
      <c r="C11" s="9" t="n">
        <v>5</v>
      </c>
      <c r="D11" s="10">
        <f>1-C11/B11</f>
        <v/>
      </c>
      <c r="E11" s="5" t="inlineStr">
        <is>
          <t>min</t>
        </is>
      </c>
    </row>
    <row r="12">
      <c r="A12" s="5" t="inlineStr">
        <is>
          <t>Projects per Year</t>
        </is>
      </c>
      <c r="B12" s="9" t="n">
        <v>2100</v>
      </c>
      <c r="C12" s="9" t="n">
        <v>2100</v>
      </c>
      <c r="D12" s="23" t="inlineStr">
        <is>
          <t>N/A</t>
        </is>
      </c>
      <c r="E12" s="5" t="inlineStr">
        <is>
          <t>#</t>
        </is>
      </c>
    </row>
    <row r="14">
      <c r="A14" s="3" t="inlineStr">
        <is>
          <t>USE CASE FINANCIAL BREAKDOWN (Document Verified Values)</t>
        </is>
      </c>
    </row>
    <row r="15">
      <c r="A15" s="4" t="inlineStr">
        <is>
          <t>Use Case</t>
        </is>
      </c>
      <c r="B15" s="4" t="inlineStr">
        <is>
          <t>Labor Savings</t>
        </is>
      </c>
      <c r="C15" s="4" t="inlineStr">
        <is>
          <t>Cost Reduction</t>
        </is>
      </c>
      <c r="D15" s="4" t="inlineStr">
        <is>
          <t>Revenue Impact</t>
        </is>
      </c>
      <c r="E15" s="4" t="inlineStr">
        <is>
          <t>Cash Flow</t>
        </is>
      </c>
      <c r="F15" s="4" t="inlineStr">
        <is>
          <t>Total</t>
        </is>
      </c>
    </row>
    <row r="16">
      <c r="A16" s="5" t="inlineStr">
        <is>
          <t>Schedule Generation</t>
        </is>
      </c>
      <c r="B16" s="6" t="n">
        <v>94000</v>
      </c>
      <c r="C16" s="6" t="n">
        <v>9450000</v>
      </c>
      <c r="D16" s="6" t="n">
        <v>0</v>
      </c>
      <c r="E16" s="6" t="n">
        <v>0</v>
      </c>
      <c r="F16" s="8">
        <f>SUM(B16:E16)</f>
        <v/>
      </c>
    </row>
    <row r="17">
      <c r="A17" s="5" t="inlineStr">
        <is>
          <t>BU Actual vs Estimate</t>
        </is>
      </c>
      <c r="B17" s="6" t="n">
        <v>107000</v>
      </c>
      <c r="C17" s="6" t="n">
        <v>2025000</v>
      </c>
      <c r="D17" s="6" t="n">
        <v>735000</v>
      </c>
      <c r="E17" s="6" t="n">
        <v>0</v>
      </c>
      <c r="F17" s="8">
        <f>SUM(B17:E17)</f>
        <v/>
      </c>
    </row>
    <row r="18">
      <c r="A18" s="5" t="inlineStr">
        <is>
          <t>RFI Response Generation</t>
        </is>
      </c>
      <c r="B18" s="6" t="n">
        <v>284000</v>
      </c>
      <c r="C18" s="6" t="n">
        <v>1563000</v>
      </c>
      <c r="D18" s="6" t="n">
        <v>0</v>
      </c>
      <c r="E18" s="6" t="n">
        <v>0</v>
      </c>
      <c r="F18" s="8">
        <f>SUM(B18:E18)</f>
        <v/>
      </c>
    </row>
    <row r="19">
      <c r="A19" s="5" t="inlineStr">
        <is>
          <t>Project Closeout Docs</t>
        </is>
      </c>
      <c r="B19" s="6" t="n">
        <v>202000</v>
      </c>
      <c r="C19" s="6" t="n">
        <v>150000</v>
      </c>
      <c r="D19" s="6" t="n">
        <v>0</v>
      </c>
      <c r="E19" s="6" t="n">
        <v>445000</v>
      </c>
      <c r="F19" s="8">
        <f>SUM(B19:E19)</f>
        <v/>
      </c>
    </row>
    <row r="20">
      <c r="A20" s="5" t="inlineStr">
        <is>
          <t>Daily/Weekly Reports</t>
        </is>
      </c>
      <c r="B20" s="6" t="n">
        <v>580000</v>
      </c>
      <c r="C20" s="6" t="n">
        <v>0</v>
      </c>
      <c r="D20" s="6" t="n">
        <v>0</v>
      </c>
      <c r="E20" s="6" t="n">
        <v>0</v>
      </c>
      <c r="F20" s="8">
        <f>SUM(B20:E20)</f>
        <v/>
      </c>
    </row>
    <row r="21">
      <c r="A21" s="5" t="inlineStr">
        <is>
          <t>Pre-Con Packets + Portfolio</t>
        </is>
      </c>
      <c r="B21" s="6" t="n">
        <v>700000</v>
      </c>
      <c r="C21" s="6" t="n">
        <v>0</v>
      </c>
      <c r="D21" s="6" t="n">
        <v>2000000</v>
      </c>
      <c r="E21" s="6" t="n">
        <v>750000</v>
      </c>
      <c r="F21" s="8">
        <f>SUM(B21:E21)</f>
        <v/>
      </c>
    </row>
    <row r="22">
      <c r="A22" s="15" t="inlineStr">
        <is>
          <t>TOTAL PLATFORM 3 BENEFIT</t>
        </is>
      </c>
      <c r="B22" s="16">
        <f>SUM(B16:B21)</f>
        <v/>
      </c>
      <c r="C22" s="16">
        <f>SUM(C16:C21)</f>
        <v/>
      </c>
      <c r="D22" s="16">
        <f>SUM(D16:D21)</f>
        <v/>
      </c>
      <c r="E22" s="16">
        <f>SUM(E16:E21)</f>
        <v/>
      </c>
      <c r="F22" s="16">
        <f>SUM(F16:F21)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26" t="inlineStr">
        <is>
          <t>PLATFORM 4: AI KNOWLEDGE MANAGEMENT</t>
        </is>
      </c>
    </row>
    <row r="2">
      <c r="A2" s="12" t="inlineStr">
        <is>
          <t>Foundation Layer with RBAC and Data Classification</t>
        </is>
      </c>
    </row>
    <row r="3">
      <c r="A3" s="2" t="inlineStr">
        <is>
          <t>Instructions: Modify YELLOW input cells. GREEN cells calculate automatically.</t>
        </is>
      </c>
    </row>
    <row r="5">
      <c r="A5" s="3" t="inlineStr">
        <is>
          <t>INPUT PARAMETERS</t>
        </is>
      </c>
    </row>
    <row r="6">
      <c r="A6" s="4" t="inlineStr">
        <is>
          <t>Parameter</t>
        </is>
      </c>
      <c r="B6" s="4" t="inlineStr">
        <is>
          <t>Current</t>
        </is>
      </c>
      <c r="C6" s="4" t="inlineStr">
        <is>
          <t>With AI</t>
        </is>
      </c>
      <c r="D6" s="4" t="inlineStr">
        <is>
          <t>Improvement</t>
        </is>
      </c>
      <c r="E6" s="4" t="inlineStr">
        <is>
          <t>Unit</t>
        </is>
      </c>
    </row>
    <row r="7">
      <c r="A7" s="5" t="inlineStr">
        <is>
          <t>Submittal Assembly Time</t>
        </is>
      </c>
      <c r="B7" s="19" t="n">
        <v>13.5</v>
      </c>
      <c r="C7" s="19" t="n">
        <v>2</v>
      </c>
      <c r="D7" s="10">
        <f>1-C7/B7</f>
        <v/>
      </c>
      <c r="E7" s="5" t="inlineStr">
        <is>
          <t>hrs</t>
        </is>
      </c>
    </row>
    <row r="8">
      <c r="A8" s="5" t="inlineStr">
        <is>
          <t>Completeness Rate</t>
        </is>
      </c>
      <c r="B8" s="7" t="n">
        <v>0.88</v>
      </c>
      <c r="C8" s="7" t="n">
        <v>0.99</v>
      </c>
      <c r="D8" s="10">
        <f>(C8-B8)/B8</f>
        <v/>
      </c>
      <c r="E8" s="5" t="inlineStr">
        <is>
          <t>%</t>
        </is>
      </c>
    </row>
    <row r="9">
      <c r="A9" s="5" t="inlineStr">
        <is>
          <t>Spec-to-Edge Mapping Accuracy</t>
        </is>
      </c>
      <c r="B9" s="7" t="n">
        <v>0.75</v>
      </c>
      <c r="C9" s="7" t="n">
        <v>0.95</v>
      </c>
      <c r="D9" s="10">
        <f>(C9-B9)/B9</f>
        <v/>
      </c>
      <c r="E9" s="5" t="inlineStr">
        <is>
          <t>%</t>
        </is>
      </c>
    </row>
    <row r="10">
      <c r="A10" s="5" t="inlineStr">
        <is>
          <t>Submittals per Year</t>
        </is>
      </c>
      <c r="B10" s="9" t="n">
        <v>2100</v>
      </c>
      <c r="C10" s="9" t="n">
        <v>2100</v>
      </c>
      <c r="D10" s="23" t="inlineStr">
        <is>
          <t>N/A</t>
        </is>
      </c>
      <c r="E10" s="5" t="inlineStr">
        <is>
          <t>#</t>
        </is>
      </c>
    </row>
    <row r="12">
      <c r="A12" s="3" t="inlineStr">
        <is>
          <t>USE CASE FINANCIAL BREAKDOWN</t>
        </is>
      </c>
    </row>
    <row r="13">
      <c r="A13" s="4" t="inlineStr">
        <is>
          <t>Use Case</t>
        </is>
      </c>
      <c r="B13" s="4" t="inlineStr">
        <is>
          <t>Hours Saved</t>
        </is>
      </c>
      <c r="C13" s="4" t="inlineStr">
        <is>
          <t>Labor Savings</t>
        </is>
      </c>
      <c r="D13" s="4" t="inlineStr">
        <is>
          <t>Revenue Impact</t>
        </is>
      </c>
      <c r="E13" s="4" t="inlineStr">
        <is>
          <t>Total</t>
        </is>
      </c>
    </row>
    <row r="14">
      <c r="A14" s="5" t="inlineStr">
        <is>
          <t>Submittal Package Assembly</t>
        </is>
      </c>
      <c r="B14" s="14">
        <f>(B7-C7)*B10</f>
        <v/>
      </c>
      <c r="C14" s="8">
        <f>B14*'Company Baseline'!B27</f>
        <v/>
      </c>
      <c r="D14" s="6" t="n">
        <v>3250000</v>
      </c>
      <c r="E14" s="8">
        <f>C14+D14</f>
        <v/>
      </c>
    </row>
    <row r="15">
      <c r="A15" s="5" t="inlineStr">
        <is>
          <t>Spec-to-Edge Mapping</t>
        </is>
      </c>
      <c r="B15" s="14">
        <f>B10*0.5</f>
        <v/>
      </c>
      <c r="C15" s="8">
        <f>B15*'Company Baseline'!B27</f>
        <v/>
      </c>
      <c r="D15" s="6" t="n">
        <v>680000</v>
      </c>
      <c r="E15" s="8">
        <f>C15+D15</f>
        <v/>
      </c>
    </row>
    <row r="16">
      <c r="A16" s="15" t="inlineStr">
        <is>
          <t>TOTAL PLATFORM 4 BENEFIT</t>
        </is>
      </c>
      <c r="B16" s="24">
        <f>SUM(B14:B15)</f>
        <v/>
      </c>
      <c r="C16" s="16">
        <f>SUM(C14:C15)</f>
        <v/>
      </c>
      <c r="D16" s="16">
        <f>SUM(D14:D15)</f>
        <v/>
      </c>
      <c r="E16" s="16">
        <f>SUM(E14:E15)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>
      <c r="A1" s="1" t="inlineStr">
        <is>
          <t>CONSOLIDATED FINANCIAL SUMMARY</t>
        </is>
      </c>
    </row>
    <row r="3">
      <c r="A3" s="2" t="inlineStr">
        <is>
          <t>All values below are calculated from the individual platform sheets. Change inputs there to see updates here.</t>
        </is>
      </c>
    </row>
    <row r="5">
      <c r="A5" s="3" t="inlineStr">
        <is>
          <t>ANNUAL BENEFIT BY PLATFORM</t>
        </is>
      </c>
    </row>
    <row r="6">
      <c r="A6" s="4" t="inlineStr">
        <is>
          <t>Platform</t>
        </is>
      </c>
      <c r="B6" s="4" t="inlineStr">
        <is>
          <t>Total Benefit</t>
        </is>
      </c>
      <c r="C6" s="4" t="inlineStr">
        <is>
          <t>% of Total</t>
        </is>
      </c>
    </row>
    <row r="7">
      <c r="A7" s="5" t="inlineStr">
        <is>
          <t>P0: AI Market Expansion Engine</t>
        </is>
      </c>
      <c r="B7" s="8">
        <f>'Platform 0'!C34</f>
        <v/>
      </c>
      <c r="C7" s="10">
        <f>B7/$B$12</f>
        <v/>
      </c>
    </row>
    <row r="8">
      <c r="A8" s="5" t="inlineStr">
        <is>
          <t>P1: AI Sales Intelligence</t>
        </is>
      </c>
      <c r="B8" s="8">
        <f>'Platform 1'!E30</f>
        <v/>
      </c>
      <c r="C8" s="10">
        <f>B8/$B$12</f>
        <v/>
      </c>
    </row>
    <row r="9">
      <c r="A9" s="5" t="inlineStr">
        <is>
          <t>P2: AI Estimation Suite</t>
        </is>
      </c>
      <c r="B9" s="8">
        <f>'Platform 2'!F21</f>
        <v/>
      </c>
      <c r="C9" s="10">
        <f>B9/$B$12</f>
        <v/>
      </c>
    </row>
    <row r="10">
      <c r="A10" s="5" t="inlineStr">
        <is>
          <t>P3: AI Project Management</t>
        </is>
      </c>
      <c r="B10" s="8">
        <f>'Platform 3'!F22</f>
        <v/>
      </c>
      <c r="C10" s="10">
        <f>B10/$B$12</f>
        <v/>
      </c>
    </row>
    <row r="11">
      <c r="A11" s="5" t="inlineStr">
        <is>
          <t>P4: AI Knowledge Management</t>
        </is>
      </c>
      <c r="B11" s="8">
        <f>'Platform 4'!E16</f>
        <v/>
      </c>
      <c r="C11" s="10">
        <f>B11/$B$12</f>
        <v/>
      </c>
    </row>
    <row r="12">
      <c r="A12" s="15" t="inlineStr">
        <is>
          <t>GRAND TOTAL ANNUAL BENEFIT</t>
        </is>
      </c>
      <c r="B12" s="16">
        <f>SUM(B7:B11)</f>
        <v/>
      </c>
      <c r="C12" s="27" t="inlineStr">
        <is>
          <t>100%</t>
        </is>
      </c>
    </row>
    <row r="14">
      <c r="A14" s="3" t="inlineStr">
        <is>
          <t>POST-TRANSFORMATION METRICS</t>
        </is>
      </c>
    </row>
    <row r="15">
      <c r="A15" s="4" t="inlineStr">
        <is>
          <t>Metric</t>
        </is>
      </c>
      <c r="B15" s="4" t="inlineStr">
        <is>
          <t>Current</t>
        </is>
      </c>
      <c r="C15" s="4" t="inlineStr">
        <is>
          <t>Post-Transform</t>
        </is>
      </c>
      <c r="D15" s="4" t="inlineStr">
        <is>
          <t>Change</t>
        </is>
      </c>
      <c r="E15" s="4" t="inlineStr">
        <is>
          <t>% Change</t>
        </is>
      </c>
    </row>
    <row r="16">
      <c r="A16" s="5" t="inlineStr">
        <is>
          <t>Annual Revenue</t>
        </is>
      </c>
      <c r="B16" s="8">
        <f>'Company Baseline'!B7</f>
        <v/>
      </c>
      <c r="C16" s="6" t="n">
        <v>603000000</v>
      </c>
      <c r="D16" s="8">
        <f>C16-B16</f>
        <v/>
      </c>
      <c r="E16" s="10">
        <f>(C16-B16)/B16</f>
        <v/>
      </c>
    </row>
    <row r="17">
      <c r="A17" s="5" t="inlineStr">
        <is>
          <t>Win Rate</t>
        </is>
      </c>
      <c r="B17" s="10">
        <f>'Company Baseline'!B17</f>
        <v/>
      </c>
      <c r="C17" s="7" t="n">
        <v>0.33</v>
      </c>
      <c r="D17" s="10">
        <f>C17-B17</f>
        <v/>
      </c>
      <c r="E17" s="10">
        <f>(C17-B17)/B17</f>
        <v/>
      </c>
    </row>
    <row r="18">
      <c r="A18" s="5" t="inlineStr">
        <is>
          <t>Net Income</t>
        </is>
      </c>
      <c r="B18" s="8">
        <f>'Company Baseline'!B11</f>
        <v/>
      </c>
      <c r="C18" s="6" t="n">
        <v>147500000</v>
      </c>
      <c r="D18" s="8">
        <f>C18-B18</f>
        <v/>
      </c>
      <c r="E18" s="10">
        <f>(C18-B18)/B18</f>
        <v/>
      </c>
    </row>
    <row r="19">
      <c r="A19" s="5" t="inlineStr">
        <is>
          <t>Annual Projects</t>
        </is>
      </c>
      <c r="B19" s="14">
        <f>'Company Baseline'!B15</f>
        <v/>
      </c>
      <c r="C19" s="9" t="n">
        <v>3600</v>
      </c>
      <c r="D19" s="14">
        <f>C19-B19</f>
        <v/>
      </c>
      <c r="E19" s="10">
        <f>(C19-B19)/B19</f>
        <v/>
      </c>
    </row>
    <row r="21">
      <c r="A21" s="3" t="inlineStr">
        <is>
          <t>TOTAL INVESTMENT SUMMARY</t>
        </is>
      </c>
    </row>
    <row r="22">
      <c r="A22" s="4" t="inlineStr">
        <is>
          <t>Category</t>
        </is>
      </c>
      <c r="B22" s="4" t="inlineStr">
        <is>
          <t>Amount</t>
        </is>
      </c>
    </row>
    <row r="23">
      <c r="A23" s="5" t="inlineStr">
        <is>
          <t>Platform Development (One-Time)</t>
        </is>
      </c>
      <c r="B23" s="6" t="n">
        <v>4500000</v>
      </c>
    </row>
    <row r="24">
      <c r="A24" s="5" t="inlineStr">
        <is>
          <t>Annual Operating Costs</t>
        </is>
      </c>
      <c r="B24" s="6" t="n">
        <v>1200000</v>
      </c>
    </row>
    <row r="25">
      <c r="A25" s="5" t="inlineStr">
        <is>
          <t>Total Year 1 Investment</t>
        </is>
      </c>
      <c r="B25" s="8">
        <f>B23+B24</f>
        <v/>
      </c>
    </row>
    <row r="26">
      <c r="A26" s="5" t="inlineStr">
        <is>
          <t>Annual Benefit</t>
        </is>
      </c>
      <c r="B26" s="8">
        <f>B12</f>
        <v/>
      </c>
    </row>
    <row r="27">
      <c r="A27" s="5" t="inlineStr">
        <is>
          <t>Net Year 1 Benefit</t>
        </is>
      </c>
      <c r="B27" s="8">
        <f>B26-B25</f>
        <v/>
      </c>
    </row>
    <row r="28">
      <c r="A28" s="5" t="inlineStr">
        <is>
          <t>Overall ROI</t>
        </is>
      </c>
      <c r="B28" s="10">
        <f>(B26-B25)/B25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>
      <c r="A1" s="1" t="inlineStr">
        <is>
          <t>SCENARIO BUILDER</t>
        </is>
      </c>
    </row>
    <row r="2">
      <c r="A2" s="2" t="inlineStr">
        <is>
          <t>Create custom scenarios by modifying the yellow cells below. Compare against the base case.</t>
        </is>
      </c>
    </row>
    <row r="4">
      <c r="A4" s="3" t="inlineStr">
        <is>
          <t>SCENARIO PARAMETERS</t>
        </is>
      </c>
    </row>
    <row r="5">
      <c r="A5" s="4" t="inlineStr">
        <is>
          <t>Parameter</t>
        </is>
      </c>
      <c r="B5" s="4" t="inlineStr">
        <is>
          <t>Base Case</t>
        </is>
      </c>
      <c r="C5" s="4" t="inlineStr">
        <is>
          <t>Your Scenario</t>
        </is>
      </c>
      <c r="D5" s="4" t="inlineStr">
        <is>
          <t>Difference</t>
        </is>
      </c>
      <c r="E5" s="4" t="inlineStr">
        <is>
          <t>% Change</t>
        </is>
      </c>
    </row>
    <row r="6">
      <c r="A6" s="5" t="inlineStr">
        <is>
          <t>Annual Leads (P0)</t>
        </is>
      </c>
      <c r="B6" s="14" t="n">
        <v>10000</v>
      </c>
      <c r="C6" s="9" t="n">
        <v>10000</v>
      </c>
      <c r="D6" s="14">
        <f>C6-B6</f>
        <v/>
      </c>
      <c r="E6" s="10">
        <f>IF(B6=0,0,(C6-B6)/B6)</f>
        <v/>
      </c>
    </row>
    <row r="7">
      <c r="A7" s="5" t="inlineStr">
        <is>
          <t>Lead-to-Meeting Rate (P0)</t>
        </is>
      </c>
      <c r="B7" s="10" t="n">
        <v>0.12</v>
      </c>
      <c r="C7" s="7" t="n">
        <v>0.12</v>
      </c>
      <c r="D7" s="10">
        <f>C7-B7</f>
        <v/>
      </c>
      <c r="E7" s="10">
        <f>IF(B7=0,0,(C7-B7)/B7)</f>
        <v/>
      </c>
    </row>
    <row r="8">
      <c r="A8" s="5" t="inlineStr">
        <is>
          <t>Meeting-to-Close Rate (P0)</t>
        </is>
      </c>
      <c r="B8" s="10" t="n">
        <v>0.2</v>
      </c>
      <c r="C8" s="7" t="n">
        <v>0.2</v>
      </c>
      <c r="D8" s="10">
        <f>C8-B8</f>
        <v/>
      </c>
      <c r="E8" s="10">
        <f>IF(B8=0,0,(C8-B8)/B8)</f>
        <v/>
      </c>
    </row>
    <row r="9">
      <c r="A9" s="5" t="inlineStr">
        <is>
          <t>Win Rate Improvement pts (P1)</t>
        </is>
      </c>
      <c r="B9" s="14" t="n">
        <v>11</v>
      </c>
      <c r="C9" s="9" t="n">
        <v>11</v>
      </c>
      <c r="D9" s="14">
        <f>C9-B9</f>
        <v/>
      </c>
      <c r="E9" s="10">
        <f>IF(B9=0,0,(C9-B9)/B9)</f>
        <v/>
      </c>
    </row>
    <row r="10">
      <c r="A10" s="5" t="inlineStr">
        <is>
          <t>Annual Bids</t>
        </is>
      </c>
      <c r="B10" s="14" t="n">
        <v>11700</v>
      </c>
      <c r="C10" s="9" t="n">
        <v>11700</v>
      </c>
      <c r="D10" s="14">
        <f>C10-B10</f>
        <v/>
      </c>
      <c r="E10" s="10">
        <f>IF(B10=0,0,(C10-B10)/B10)</f>
        <v/>
      </c>
    </row>
    <row r="11">
      <c r="A11" s="5" t="inlineStr">
        <is>
          <t>Average Project Value</t>
        </is>
      </c>
      <c r="B11" s="8" t="n">
        <v>250000</v>
      </c>
      <c r="C11" s="6" t="n">
        <v>250000</v>
      </c>
      <c r="D11" s="8">
        <f>C11-B11</f>
        <v/>
      </c>
      <c r="E11" s="10">
        <f>IF(B11=0,0,(C11-B11)/B11)</f>
        <v/>
      </c>
    </row>
    <row r="12">
      <c r="A12" s="5" t="inlineStr">
        <is>
          <t>Gross Margin</t>
        </is>
      </c>
      <c r="B12" s="10" t="n">
        <v>0.35</v>
      </c>
      <c r="C12" s="7" t="n">
        <v>0.35</v>
      </c>
      <c r="D12" s="10">
        <f>C12-B12</f>
        <v/>
      </c>
      <c r="E12" s="10">
        <f>IF(B12=0,0,(C12-B12)/B12)</f>
        <v/>
      </c>
    </row>
    <row r="13">
      <c r="A13" s="5" t="inlineStr">
        <is>
          <t>Net Margin</t>
        </is>
      </c>
      <c r="B13" s="10" t="n">
        <v>0.07000000000000001</v>
      </c>
      <c r="C13" s="7" t="n">
        <v>0.07000000000000001</v>
      </c>
      <c r="D13" s="10">
        <f>C13-B13</f>
        <v/>
      </c>
      <c r="E13" s="10">
        <f>IF(B13=0,0,(C13-B13)/B13)</f>
        <v/>
      </c>
    </row>
    <row r="15">
      <c r="A15" s="3" t="inlineStr">
        <is>
          <t>SCENARIO IMPACT CALCULATIONS</t>
        </is>
      </c>
    </row>
    <row r="16">
      <c r="A16" s="4" t="inlineStr">
        <is>
          <t>Metric</t>
        </is>
      </c>
      <c r="B16" s="4" t="inlineStr">
        <is>
          <t>Base Case</t>
        </is>
      </c>
      <c r="C16" s="4" t="inlineStr">
        <is>
          <t>Your Scenario</t>
        </is>
      </c>
      <c r="D16" s="4" t="inlineStr">
        <is>
          <t>Difference</t>
        </is>
      </c>
    </row>
    <row r="17">
      <c r="A17" s="27" t="inlineStr">
        <is>
          <t>Platform 0 Impact:</t>
        </is>
      </c>
    </row>
    <row r="18">
      <c r="A18" s="5" t="inlineStr">
        <is>
          <t>Qualified Meetings</t>
        </is>
      </c>
      <c r="B18" s="14">
        <f>B6*B7</f>
        <v/>
      </c>
      <c r="C18" s="14">
        <f>C6*C7</f>
        <v/>
      </c>
      <c r="D18" s="14">
        <f>C18-B18</f>
        <v/>
      </c>
    </row>
    <row r="19">
      <c r="A19" s="5" t="inlineStr">
        <is>
          <t>New Projects</t>
        </is>
      </c>
      <c r="B19" s="14">
        <f>B18*B8</f>
        <v/>
      </c>
      <c r="C19" s="14">
        <f>C18*C8</f>
        <v/>
      </c>
      <c r="D19" s="14">
        <f>C19-B19</f>
        <v/>
      </c>
    </row>
    <row r="20">
      <c r="A20" s="5" t="inlineStr">
        <is>
          <t>Gross Revenue</t>
        </is>
      </c>
      <c r="B20" s="8">
        <f>B19*B11</f>
        <v/>
      </c>
      <c r="C20" s="8">
        <f>C19*C11</f>
        <v/>
      </c>
      <c r="D20" s="8">
        <f>C20-B20</f>
        <v/>
      </c>
    </row>
    <row r="21">
      <c r="A21" s="5" t="inlineStr">
        <is>
          <t>Net Revenue Impact</t>
        </is>
      </c>
      <c r="B21" s="8">
        <f>B20*B13</f>
        <v/>
      </c>
      <c r="C21" s="8">
        <f>C20*C13</f>
        <v/>
      </c>
      <c r="D21" s="8">
        <f>C21-B21</f>
        <v/>
      </c>
    </row>
    <row r="23">
      <c r="A23" s="27" t="inlineStr">
        <is>
          <t>Platform 1 Impact:</t>
        </is>
      </c>
    </row>
    <row r="24">
      <c r="A24" s="5" t="inlineStr">
        <is>
          <t>New Win Rate</t>
        </is>
      </c>
      <c r="B24" s="10">
        <f>0.22+B9/100</f>
        <v/>
      </c>
      <c r="C24" s="10">
        <f>0.22+C9/100</f>
        <v/>
      </c>
      <c r="D24" s="10">
        <f>C24-B24</f>
        <v/>
      </c>
    </row>
    <row r="25">
      <c r="A25" s="5" t="inlineStr">
        <is>
          <t>Additional Wins</t>
        </is>
      </c>
      <c r="B25" s="14">
        <f>B10*B9/100</f>
        <v/>
      </c>
      <c r="C25" s="14">
        <f>C10*C9/100</f>
        <v/>
      </c>
      <c r="D25" s="14">
        <f>C25-B25</f>
        <v/>
      </c>
    </row>
    <row r="26">
      <c r="A26" s="5" t="inlineStr">
        <is>
          <t>Revenue Impact</t>
        </is>
      </c>
      <c r="B26" s="8">
        <f>B25*B11*B12</f>
        <v/>
      </c>
      <c r="C26" s="8">
        <f>C25*C11*C12</f>
        <v/>
      </c>
      <c r="D26" s="8">
        <f>C26-B26</f>
        <v/>
      </c>
    </row>
    <row r="28">
      <c r="A28" s="3" t="inlineStr">
        <is>
          <t>COMBINED SCENARIO IMPACT</t>
        </is>
      </c>
    </row>
    <row r="29">
      <c r="A29" s="5" t="inlineStr">
        <is>
          <t>Total Revenue Impact</t>
        </is>
      </c>
      <c r="B29" s="8">
        <f>B21+B26</f>
        <v/>
      </c>
      <c r="C29" s="8">
        <f>C21+C26</f>
        <v/>
      </c>
      <c r="D29" s="8">
        <f>C29-B29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SENSITIVITY ANALYSIS</t>
        </is>
      </c>
    </row>
    <row r="2">
      <c r="A2" s="2" t="inlineStr">
        <is>
          <t>See how changes in key variables affect total benefits. Base case is highlighted.</t>
        </is>
      </c>
    </row>
    <row r="4">
      <c r="A4" s="3" t="inlineStr">
        <is>
          <t>WIN RATE IMPROVEMENT SENSITIVITY</t>
        </is>
      </c>
    </row>
    <row r="5">
      <c r="A5" s="4" t="inlineStr">
        <is>
          <t>Improvement (pts)</t>
        </is>
      </c>
      <c r="B5" s="4" t="inlineStr">
        <is>
          <t>Additional Wins</t>
        </is>
      </c>
      <c r="C5" s="4" t="inlineStr">
        <is>
          <t>Revenue Impact</t>
        </is>
      </c>
      <c r="D5" s="4" t="inlineStr">
        <is>
          <t>vs Base Case</t>
        </is>
      </c>
    </row>
    <row r="6">
      <c r="A6" s="5" t="n">
        <v>5</v>
      </c>
      <c r="B6" s="14">
        <f>'Company Baseline'!B16*A6/100</f>
        <v/>
      </c>
      <c r="C6" s="8">
        <f>B6*'Company Baseline'!B18*'Company Baseline'!B8</f>
        <v/>
      </c>
      <c r="D6" s="8">
        <f>C6-$C$9</f>
        <v/>
      </c>
    </row>
    <row r="7">
      <c r="A7" s="5" t="n">
        <v>7</v>
      </c>
      <c r="B7" s="14">
        <f>'Company Baseline'!B16*A7/100</f>
        <v/>
      </c>
      <c r="C7" s="8">
        <f>B7*'Company Baseline'!B18*'Company Baseline'!B8</f>
        <v/>
      </c>
      <c r="D7" s="8">
        <f>C7-$C$9</f>
        <v/>
      </c>
    </row>
    <row r="8">
      <c r="A8" s="5" t="n">
        <v>9</v>
      </c>
      <c r="B8" s="14">
        <f>'Company Baseline'!B16*A8/100</f>
        <v/>
      </c>
      <c r="C8" s="8">
        <f>B8*'Company Baseline'!B18*'Company Baseline'!B8</f>
        <v/>
      </c>
      <c r="D8" s="8">
        <f>C8-$C$9</f>
        <v/>
      </c>
    </row>
    <row r="9">
      <c r="A9" s="28" t="n">
        <v>11</v>
      </c>
      <c r="B9" s="29">
        <f>'Company Baseline'!B16*A9/100</f>
        <v/>
      </c>
      <c r="C9" s="30">
        <f>B9*'Company Baseline'!B18*'Company Baseline'!B8</f>
        <v/>
      </c>
      <c r="D9" s="30">
        <f>C9-$C$9</f>
        <v/>
      </c>
    </row>
    <row r="10">
      <c r="A10" s="5" t="n">
        <v>13</v>
      </c>
      <c r="B10" s="14">
        <f>'Company Baseline'!B16*A10/100</f>
        <v/>
      </c>
      <c r="C10" s="8">
        <f>B10*'Company Baseline'!B18*'Company Baseline'!B8</f>
        <v/>
      </c>
      <c r="D10" s="8">
        <f>C10-$C$9</f>
        <v/>
      </c>
    </row>
    <row r="11">
      <c r="A11" s="5" t="n">
        <v>15</v>
      </c>
      <c r="B11" s="14">
        <f>'Company Baseline'!B16*A11/100</f>
        <v/>
      </c>
      <c r="C11" s="8">
        <f>B11*'Company Baseline'!B18*'Company Baseline'!B8</f>
        <v/>
      </c>
      <c r="D11" s="8">
        <f>C11-$C$9</f>
        <v/>
      </c>
    </row>
    <row r="12">
      <c r="A12" s="5" t="n">
        <v>17</v>
      </c>
      <c r="B12" s="14">
        <f>'Company Baseline'!B16*A12/100</f>
        <v/>
      </c>
      <c r="C12" s="8">
        <f>B12*'Company Baseline'!B18*'Company Baseline'!B8</f>
        <v/>
      </c>
      <c r="D12" s="8">
        <f>C12-$C$9</f>
        <v/>
      </c>
    </row>
    <row r="14">
      <c r="A14" s="3" t="inlineStr">
        <is>
          <t>LEAD VOLUME SENSITIVITY (P0)</t>
        </is>
      </c>
    </row>
    <row r="15">
      <c r="A15" s="4" t="inlineStr">
        <is>
          <t>Annual Leads</t>
        </is>
      </c>
      <c r="B15" s="4" t="inlineStr">
        <is>
          <t>Meetings</t>
        </is>
      </c>
      <c r="C15" s="4" t="inlineStr">
        <is>
          <t>New Projects</t>
        </is>
      </c>
      <c r="D15" s="4" t="inlineStr">
        <is>
          <t>Gross Revenue</t>
        </is>
      </c>
    </row>
    <row r="16">
      <c r="A16" s="5" t="n">
        <v>5000</v>
      </c>
      <c r="B16" s="14">
        <f>A16*0.12</f>
        <v/>
      </c>
      <c r="C16" s="14">
        <f>B16*0.20</f>
        <v/>
      </c>
      <c r="D16" s="8">
        <f>C16*'Company Baseline'!B18</f>
        <v/>
      </c>
    </row>
    <row r="17">
      <c r="A17" s="5" t="n">
        <v>7500</v>
      </c>
      <c r="B17" s="14">
        <f>A17*0.12</f>
        <v/>
      </c>
      <c r="C17" s="14">
        <f>B17*0.20</f>
        <v/>
      </c>
      <c r="D17" s="8">
        <f>C17*'Company Baseline'!B18</f>
        <v/>
      </c>
    </row>
    <row r="18">
      <c r="A18" s="28" t="n">
        <v>10000</v>
      </c>
      <c r="B18" s="29">
        <f>A18*0.12</f>
        <v/>
      </c>
      <c r="C18" s="29">
        <f>B18*0.20</f>
        <v/>
      </c>
      <c r="D18" s="30">
        <f>C18*'Company Baseline'!B18</f>
        <v/>
      </c>
    </row>
    <row r="19">
      <c r="A19" s="5" t="n">
        <v>12500</v>
      </c>
      <c r="B19" s="14">
        <f>A19*0.12</f>
        <v/>
      </c>
      <c r="C19" s="14">
        <f>B19*0.20</f>
        <v/>
      </c>
      <c r="D19" s="8">
        <f>C19*'Company Baseline'!B18</f>
        <v/>
      </c>
    </row>
    <row r="20">
      <c r="A20" s="5" t="n">
        <v>15000</v>
      </c>
      <c r="B20" s="14">
        <f>A20*0.12</f>
        <v/>
      </c>
      <c r="C20" s="14">
        <f>B20*0.20</f>
        <v/>
      </c>
      <c r="D20" s="8">
        <f>C20*'Company Baseline'!B18</f>
        <v/>
      </c>
    </row>
    <row r="21">
      <c r="A21" s="5" t="n">
        <v>17500</v>
      </c>
      <c r="B21" s="14">
        <f>A21*0.12</f>
        <v/>
      </c>
      <c r="C21" s="14">
        <f>B21*0.20</f>
        <v/>
      </c>
      <c r="D21" s="8">
        <f>C21*'Company Baseline'!B18</f>
        <v/>
      </c>
    </row>
    <row r="22">
      <c r="A22" s="5" t="n">
        <v>20000</v>
      </c>
      <c r="B22" s="14">
        <f>A22*0.12</f>
        <v/>
      </c>
      <c r="C22" s="14">
        <f>B22*0.20</f>
        <v/>
      </c>
      <c r="D22" s="8">
        <f>C22*'Company Baseline'!B18</f>
        <v/>
      </c>
    </row>
    <row r="24">
      <c r="A24" s="3" t="inlineStr">
        <is>
          <t>AVERAGE PROJECT VALUE SENSITIVITY</t>
        </is>
      </c>
    </row>
    <row r="25">
      <c r="A25" s="4" t="inlineStr">
        <is>
          <t>Avg Project Value</t>
        </is>
      </c>
      <c r="B25" s="4" t="inlineStr">
        <is>
          <t>P0 Impact</t>
        </is>
      </c>
      <c r="C25" s="4" t="inlineStr">
        <is>
          <t>P1 Impact</t>
        </is>
      </c>
      <c r="D25" s="4" t="inlineStr">
        <is>
          <t>Combined</t>
        </is>
      </c>
    </row>
    <row r="26">
      <c r="A26" s="31" t="n">
        <v>150000</v>
      </c>
      <c r="B26" s="8">
        <f>240*A26*0.07</f>
        <v/>
      </c>
      <c r="C26" s="8">
        <f>1287*A26*0.35</f>
        <v/>
      </c>
      <c r="D26" s="8">
        <f>B26+C26</f>
        <v/>
      </c>
    </row>
    <row r="27">
      <c r="A27" s="31" t="n">
        <v>200000</v>
      </c>
      <c r="B27" s="8">
        <f>240*A27*0.07</f>
        <v/>
      </c>
      <c r="C27" s="8">
        <f>1287*A27*0.35</f>
        <v/>
      </c>
      <c r="D27" s="8">
        <f>B27+C27</f>
        <v/>
      </c>
    </row>
    <row r="28">
      <c r="A28" s="30" t="n">
        <v>250000</v>
      </c>
      <c r="B28" s="30">
        <f>240*A28*0.07</f>
        <v/>
      </c>
      <c r="C28" s="30">
        <f>1287*A28*0.35</f>
        <v/>
      </c>
      <c r="D28" s="30">
        <f>B28+C28</f>
        <v/>
      </c>
    </row>
    <row r="29">
      <c r="A29" s="31" t="n">
        <v>300000</v>
      </c>
      <c r="B29" s="8">
        <f>240*A29*0.07</f>
        <v/>
      </c>
      <c r="C29" s="8">
        <f>1287*A29*0.35</f>
        <v/>
      </c>
      <c r="D29" s="8">
        <f>B29+C29</f>
        <v/>
      </c>
    </row>
    <row r="30">
      <c r="A30" s="31" t="n">
        <v>350000</v>
      </c>
      <c r="B30" s="8">
        <f>240*A30*0.07</f>
        <v/>
      </c>
      <c r="C30" s="8">
        <f>1287*A30*0.35</f>
        <v/>
      </c>
      <c r="D30" s="8">
        <f>B30+C30</f>
        <v/>
      </c>
    </row>
    <row r="31">
      <c r="A31" s="31" t="n">
        <v>400000</v>
      </c>
      <c r="B31" s="8">
        <f>240*A31*0.07</f>
        <v/>
      </c>
      <c r="C31" s="8">
        <f>1287*A31*0.35</f>
        <v/>
      </c>
      <c r="D31" s="8">
        <f>B31+C31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2026-01-19T17:09:34Z</dcterms:created>
  <dcterms:modified xmlns:dcterms="http://purl.org/dc/terms/" xmlns:xsi="http://www.w3.org/2001/XMLSchema-instance" xsi:type="dcterms:W3CDTF">2026-01-19T17:09:34Z</dcterms:modified>
</cp:coreProperties>
</file>